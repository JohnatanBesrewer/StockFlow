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My comp\Desktop\МОТОБЛОКИ в ПРЯМИЦЫНО\"/>
    </mc:Choice>
  </mc:AlternateContent>
  <xr:revisionPtr revIDLastSave="0" documentId="13_ncr:1_{54795078-E07E-47CA-84D9-A39D30F64FCF}" xr6:coauthVersionLast="47" xr6:coauthVersionMax="47" xr10:uidLastSave="{00000000-0000-0000-0000-000000000000}"/>
  <bookViews>
    <workbookView xWindow="-120" yWindow="-120" windowWidth="20730" windowHeight="11160" xr2:uid="{B7E842A3-D0EC-4BDD-9F5C-FE767E82D19B}"/>
  </bookViews>
  <sheets>
    <sheet name="Лист1" sheetId="1" r:id="rId1"/>
    <sheet name="Лист3" sheetId="3" state="hidden" r:id="rId2"/>
  </sheets>
  <definedNames>
    <definedName name="Техника">Лист3!$A:$A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1" i="1" l="1"/>
  <c r="A126" i="1" l="1"/>
  <c r="F126" i="1"/>
  <c r="H126" i="1"/>
  <c r="J126" i="1"/>
  <c r="K126" i="1"/>
  <c r="A127" i="1" l="1"/>
  <c r="F127" i="1"/>
  <c r="H127" i="1"/>
  <c r="J127" i="1"/>
  <c r="K127" i="1"/>
  <c r="A142" i="1"/>
  <c r="F142" i="1"/>
  <c r="H142" i="1"/>
  <c r="J142" i="1"/>
  <c r="K142" i="1"/>
  <c r="A274" i="1"/>
  <c r="F274" i="1"/>
  <c r="H274" i="1"/>
  <c r="J274" i="1"/>
  <c r="K274" i="1"/>
  <c r="A273" i="1"/>
  <c r="F273" i="1"/>
  <c r="H273" i="1"/>
  <c r="J273" i="1"/>
  <c r="K273" i="1"/>
  <c r="A241" i="1"/>
  <c r="F241" i="1"/>
  <c r="H241" i="1"/>
  <c r="J241" i="1"/>
  <c r="K241" i="1"/>
  <c r="A242" i="1"/>
  <c r="A240" i="1"/>
  <c r="F240" i="1"/>
  <c r="H240" i="1"/>
  <c r="J240" i="1"/>
  <c r="K240" i="1"/>
  <c r="A239" i="1"/>
  <c r="F239" i="1"/>
  <c r="H239" i="1"/>
  <c r="J239" i="1"/>
  <c r="K239" i="1"/>
  <c r="A238" i="1"/>
  <c r="F238" i="1"/>
  <c r="H238" i="1"/>
  <c r="J238" i="1"/>
  <c r="K238" i="1"/>
  <c r="A237" i="1"/>
  <c r="F237" i="1"/>
  <c r="H237" i="1"/>
  <c r="J237" i="1"/>
  <c r="K237" i="1"/>
  <c r="A236" i="1"/>
  <c r="F236" i="1"/>
  <c r="H236" i="1"/>
  <c r="J236" i="1"/>
  <c r="K236" i="1"/>
  <c r="A235" i="1"/>
  <c r="F235" i="1"/>
  <c r="H235" i="1"/>
  <c r="J235" i="1"/>
  <c r="K235" i="1"/>
  <c r="A272" i="1"/>
  <c r="F272" i="1"/>
  <c r="H272" i="1"/>
  <c r="J272" i="1"/>
  <c r="K272" i="1"/>
  <c r="A271" i="1"/>
  <c r="F271" i="1"/>
  <c r="H271" i="1"/>
  <c r="J271" i="1"/>
  <c r="K271" i="1"/>
  <c r="A270" i="1"/>
  <c r="F270" i="1"/>
  <c r="H270" i="1"/>
  <c r="J270" i="1"/>
  <c r="K270" i="1"/>
  <c r="A269" i="1"/>
  <c r="F269" i="1"/>
  <c r="H269" i="1"/>
  <c r="J269" i="1"/>
  <c r="K269" i="1"/>
  <c r="A268" i="1"/>
  <c r="F268" i="1"/>
  <c r="H268" i="1"/>
  <c r="J268" i="1"/>
  <c r="K268" i="1"/>
  <c r="A290" i="1" l="1"/>
  <c r="F290" i="1"/>
  <c r="H290" i="1"/>
  <c r="J290" i="1"/>
  <c r="K290" i="1"/>
  <c r="A264" i="1" l="1"/>
  <c r="F264" i="1"/>
  <c r="H264" i="1"/>
  <c r="J264" i="1"/>
  <c r="K264" i="1"/>
  <c r="A263" i="1"/>
  <c r="F263" i="1"/>
  <c r="H263" i="1"/>
  <c r="J263" i="1"/>
  <c r="K263" i="1"/>
  <c r="A262" i="1"/>
  <c r="F262" i="1"/>
  <c r="H262" i="1"/>
  <c r="J262" i="1"/>
  <c r="K262" i="1"/>
  <c r="A260" i="1"/>
  <c r="A261" i="1"/>
  <c r="F261" i="1"/>
  <c r="H261" i="1"/>
  <c r="J261" i="1"/>
  <c r="K261" i="1"/>
  <c r="F260" i="1"/>
  <c r="H260" i="1"/>
  <c r="J260" i="1"/>
  <c r="K260" i="1"/>
  <c r="A259" i="1"/>
  <c r="F259" i="1"/>
  <c r="H259" i="1"/>
  <c r="J259" i="1"/>
  <c r="K259" i="1"/>
  <c r="A86" i="1" l="1"/>
  <c r="F86" i="1"/>
  <c r="H86" i="1"/>
  <c r="J86" i="1"/>
  <c r="K86" i="1"/>
  <c r="A85" i="1"/>
  <c r="F85" i="1"/>
  <c r="H85" i="1"/>
  <c r="J85" i="1"/>
  <c r="K85" i="1"/>
  <c r="A84" i="1"/>
  <c r="F84" i="1"/>
  <c r="H84" i="1"/>
  <c r="J84" i="1"/>
  <c r="K84" i="1"/>
  <c r="A83" i="1"/>
  <c r="F83" i="1"/>
  <c r="H83" i="1"/>
  <c r="J83" i="1"/>
  <c r="K83" i="1"/>
  <c r="A82" i="1"/>
  <c r="F82" i="1"/>
  <c r="H82" i="1"/>
  <c r="J82" i="1"/>
  <c r="K82" i="1"/>
  <c r="A81" i="1"/>
  <c r="F81" i="1"/>
  <c r="H81" i="1"/>
  <c r="J81" i="1"/>
  <c r="A79" i="1"/>
  <c r="F79" i="1"/>
  <c r="H79" i="1"/>
  <c r="J79" i="1"/>
  <c r="K79" i="1"/>
  <c r="A80" i="1"/>
  <c r="F80" i="1"/>
  <c r="H80" i="1"/>
  <c r="J80" i="1"/>
  <c r="K80" i="1"/>
  <c r="A77" i="1"/>
  <c r="F77" i="1"/>
  <c r="H77" i="1"/>
  <c r="J77" i="1"/>
  <c r="K77" i="1"/>
  <c r="A229" i="1"/>
  <c r="A228" i="1"/>
  <c r="F229" i="1"/>
  <c r="H229" i="1"/>
  <c r="J229" i="1"/>
  <c r="K229" i="1"/>
  <c r="A220" i="1"/>
  <c r="F220" i="1"/>
  <c r="H220" i="1"/>
  <c r="J220" i="1"/>
  <c r="K220" i="1"/>
  <c r="A289" i="1"/>
  <c r="A288" i="1"/>
  <c r="F289" i="1"/>
  <c r="H289" i="1"/>
  <c r="J289" i="1"/>
  <c r="K289" i="1"/>
  <c r="A286" i="1"/>
  <c r="A287" i="1"/>
  <c r="F288" i="1"/>
  <c r="H288" i="1"/>
  <c r="J288" i="1"/>
  <c r="K288" i="1"/>
  <c r="J279" i="1"/>
  <c r="A279" i="1"/>
  <c r="A278" i="1"/>
  <c r="F279" i="1"/>
  <c r="H279" i="1"/>
  <c r="K279" i="1"/>
  <c r="A154" i="1"/>
  <c r="F154" i="1"/>
  <c r="H154" i="1"/>
  <c r="J154" i="1"/>
  <c r="K154" i="1"/>
  <c r="A15" i="1"/>
  <c r="F15" i="1"/>
  <c r="H15" i="1"/>
  <c r="J15" i="1"/>
  <c r="K15" i="1"/>
  <c r="F245" i="1"/>
  <c r="H245" i="1"/>
  <c r="J245" i="1"/>
  <c r="K245" i="1"/>
  <c r="A244" i="1"/>
  <c r="F244" i="1"/>
  <c r="H244" i="1"/>
  <c r="J244" i="1"/>
  <c r="K244" i="1"/>
  <c r="A247" i="1"/>
  <c r="F247" i="1"/>
  <c r="H247" i="1"/>
  <c r="J247" i="1"/>
  <c r="K247" i="1"/>
  <c r="A246" i="1"/>
  <c r="F246" i="1"/>
  <c r="H246" i="1"/>
  <c r="J246" i="1"/>
  <c r="K246" i="1"/>
  <c r="A234" i="1"/>
  <c r="F234" i="1"/>
  <c r="H234" i="1"/>
  <c r="J234" i="1"/>
  <c r="K234" i="1"/>
  <c r="A248" i="1"/>
  <c r="F248" i="1"/>
  <c r="H248" i="1"/>
  <c r="J248" i="1"/>
  <c r="K248" i="1"/>
  <c r="A243" i="1"/>
  <c r="F243" i="1"/>
  <c r="H243" i="1"/>
  <c r="J243" i="1"/>
  <c r="K243" i="1"/>
  <c r="F242" i="1"/>
  <c r="H242" i="1"/>
  <c r="J242" i="1"/>
  <c r="K242" i="1"/>
  <c r="F287" i="1"/>
  <c r="H287" i="1"/>
  <c r="J287" i="1"/>
  <c r="K287" i="1"/>
  <c r="F286" i="1"/>
  <c r="H286" i="1"/>
  <c r="J286" i="1"/>
  <c r="K286" i="1"/>
  <c r="A285" i="1"/>
  <c r="F285" i="1"/>
  <c r="H285" i="1"/>
  <c r="J285" i="1"/>
  <c r="K285" i="1"/>
  <c r="A284" i="1" l="1"/>
  <c r="F284" i="1"/>
  <c r="H284" i="1"/>
  <c r="J284" i="1"/>
  <c r="K284" i="1"/>
  <c r="A283" i="1"/>
  <c r="F283" i="1"/>
  <c r="H283" i="1"/>
  <c r="J283" i="1"/>
  <c r="K283" i="1"/>
  <c r="A282" i="1"/>
  <c r="F282" i="1"/>
  <c r="H282" i="1"/>
  <c r="J282" i="1"/>
  <c r="K282" i="1"/>
  <c r="A281" i="1"/>
  <c r="F281" i="1"/>
  <c r="H281" i="1"/>
  <c r="J281" i="1"/>
  <c r="K281" i="1"/>
  <c r="A280" i="1"/>
  <c r="F280" i="1"/>
  <c r="H280" i="1"/>
  <c r="J280" i="1"/>
  <c r="K280" i="1"/>
  <c r="F278" i="1"/>
  <c r="H278" i="1"/>
  <c r="J278" i="1"/>
  <c r="K278" i="1"/>
  <c r="A277" i="1"/>
  <c r="F277" i="1"/>
  <c r="H277" i="1"/>
  <c r="J277" i="1"/>
  <c r="K277" i="1"/>
  <c r="A276" i="1"/>
  <c r="F276" i="1"/>
  <c r="H276" i="1"/>
  <c r="J276" i="1"/>
  <c r="K276" i="1"/>
  <c r="A214" i="1"/>
  <c r="F214" i="1"/>
  <c r="H214" i="1"/>
  <c r="J214" i="1"/>
  <c r="K214" i="1"/>
  <c r="A275" i="1"/>
  <c r="F275" i="1"/>
  <c r="H275" i="1"/>
  <c r="J275" i="1"/>
  <c r="K275" i="1"/>
  <c r="F267" i="1"/>
  <c r="H267" i="1"/>
  <c r="J267" i="1"/>
  <c r="K267" i="1"/>
  <c r="A266" i="1"/>
  <c r="A267" i="1"/>
  <c r="F266" i="1"/>
  <c r="H266" i="1"/>
  <c r="J266" i="1"/>
  <c r="K266" i="1"/>
  <c r="A132" i="1"/>
  <c r="F132" i="1"/>
  <c r="H132" i="1"/>
  <c r="J132" i="1"/>
  <c r="K132" i="1"/>
  <c r="A131" i="1"/>
  <c r="F131" i="1"/>
  <c r="H131" i="1"/>
  <c r="J131" i="1"/>
  <c r="K131" i="1"/>
  <c r="A265" i="1"/>
  <c r="F265" i="1"/>
  <c r="H265" i="1"/>
  <c r="J265" i="1"/>
  <c r="K265" i="1"/>
  <c r="A35" i="1"/>
  <c r="F35" i="1"/>
  <c r="H35" i="1"/>
  <c r="J35" i="1"/>
  <c r="K35" i="1"/>
  <c r="A257" i="1"/>
  <c r="F257" i="1"/>
  <c r="H257" i="1"/>
  <c r="J257" i="1"/>
  <c r="K257" i="1"/>
  <c r="F138" i="1"/>
  <c r="A139" i="1"/>
  <c r="F139" i="1"/>
  <c r="H139" i="1"/>
  <c r="J139" i="1"/>
  <c r="K139" i="1"/>
  <c r="A198" i="1"/>
  <c r="F198" i="1"/>
  <c r="H198" i="1"/>
  <c r="J198" i="1"/>
  <c r="K198" i="1"/>
  <c r="A5" i="1"/>
  <c r="F5" i="1"/>
  <c r="H5" i="1"/>
  <c r="J5" i="1"/>
  <c r="K5" i="1"/>
  <c r="A177" i="1"/>
  <c r="F177" i="1"/>
  <c r="H177" i="1"/>
  <c r="J177" i="1"/>
  <c r="K177" i="1"/>
  <c r="A178" i="1"/>
  <c r="F178" i="1"/>
  <c r="H178" i="1"/>
  <c r="J178" i="1"/>
  <c r="K178" i="1"/>
  <c r="A176" i="1"/>
  <c r="F176" i="1"/>
  <c r="H176" i="1"/>
  <c r="J176" i="1"/>
  <c r="K176" i="1"/>
  <c r="A175" i="1"/>
  <c r="F175" i="1"/>
  <c r="H175" i="1"/>
  <c r="J175" i="1"/>
  <c r="K175" i="1"/>
  <c r="A174" i="1"/>
  <c r="F174" i="1"/>
  <c r="H174" i="1"/>
  <c r="J174" i="1"/>
  <c r="K174" i="1"/>
  <c r="K2" i="1"/>
  <c r="K3" i="1"/>
  <c r="K4" i="1"/>
  <c r="K6" i="1"/>
  <c r="K7" i="1"/>
  <c r="K8" i="1"/>
  <c r="K9" i="1"/>
  <c r="K10" i="1"/>
  <c r="K11" i="1"/>
  <c r="K12" i="1"/>
  <c r="K13" i="1"/>
  <c r="K14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8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8" i="1"/>
  <c r="K129" i="1"/>
  <c r="K130" i="1"/>
  <c r="K133" i="1"/>
  <c r="K137" i="1"/>
  <c r="K138" i="1"/>
  <c r="K134" i="1"/>
  <c r="K135" i="1"/>
  <c r="K136" i="1"/>
  <c r="K140" i="1"/>
  <c r="K141" i="1"/>
  <c r="K143" i="1"/>
  <c r="K144" i="1"/>
  <c r="K145" i="1"/>
  <c r="K146" i="1"/>
  <c r="K147" i="1"/>
  <c r="K148" i="1"/>
  <c r="K149" i="1"/>
  <c r="K150" i="1"/>
  <c r="K151" i="1"/>
  <c r="K152" i="1"/>
  <c r="K153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5" i="1"/>
  <c r="K216" i="1"/>
  <c r="K217" i="1"/>
  <c r="K218" i="1"/>
  <c r="K219" i="1"/>
  <c r="K221" i="1"/>
  <c r="K222" i="1"/>
  <c r="K223" i="1"/>
  <c r="K224" i="1"/>
  <c r="K225" i="1"/>
  <c r="K226" i="1"/>
  <c r="K227" i="1"/>
  <c r="K228" i="1"/>
  <c r="K230" i="1"/>
  <c r="K231" i="1"/>
  <c r="K232" i="1"/>
  <c r="K233" i="1"/>
  <c r="K249" i="1"/>
  <c r="K250" i="1"/>
  <c r="K251" i="1"/>
  <c r="K252" i="1"/>
  <c r="K253" i="1"/>
  <c r="K254" i="1"/>
  <c r="K255" i="1"/>
  <c r="K256" i="1"/>
  <c r="K258" i="1"/>
  <c r="J2" i="1"/>
  <c r="J3" i="1"/>
  <c r="J4" i="1"/>
  <c r="J6" i="1"/>
  <c r="J7" i="1"/>
  <c r="J8" i="1"/>
  <c r="J9" i="1"/>
  <c r="J10" i="1"/>
  <c r="J11" i="1"/>
  <c r="J12" i="1"/>
  <c r="J13" i="1"/>
  <c r="J14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8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8" i="1"/>
  <c r="J129" i="1"/>
  <c r="J130" i="1"/>
  <c r="J133" i="1"/>
  <c r="J137" i="1"/>
  <c r="J138" i="1"/>
  <c r="J134" i="1"/>
  <c r="J135" i="1"/>
  <c r="J136" i="1"/>
  <c r="J140" i="1"/>
  <c r="J141" i="1"/>
  <c r="J143" i="1"/>
  <c r="J144" i="1"/>
  <c r="J145" i="1"/>
  <c r="J146" i="1"/>
  <c r="J147" i="1"/>
  <c r="J148" i="1"/>
  <c r="J149" i="1"/>
  <c r="J150" i="1"/>
  <c r="J151" i="1"/>
  <c r="J152" i="1"/>
  <c r="J153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5" i="1"/>
  <c r="J216" i="1"/>
  <c r="J217" i="1"/>
  <c r="J218" i="1"/>
  <c r="J219" i="1"/>
  <c r="J221" i="1"/>
  <c r="J222" i="1"/>
  <c r="J223" i="1"/>
  <c r="J224" i="1"/>
  <c r="J225" i="1"/>
  <c r="J226" i="1"/>
  <c r="J227" i="1"/>
  <c r="J228" i="1"/>
  <c r="J230" i="1"/>
  <c r="J231" i="1"/>
  <c r="J232" i="1"/>
  <c r="J233" i="1"/>
  <c r="J249" i="1"/>
  <c r="J250" i="1"/>
  <c r="J251" i="1"/>
  <c r="J252" i="1"/>
  <c r="J253" i="1"/>
  <c r="J254" i="1"/>
  <c r="J255" i="1"/>
  <c r="J256" i="1"/>
  <c r="J258" i="1"/>
  <c r="A258" i="1"/>
  <c r="F258" i="1"/>
  <c r="H258" i="1"/>
  <c r="A130" i="1"/>
  <c r="F130" i="1"/>
  <c r="H130" i="1"/>
  <c r="A255" i="1"/>
  <c r="F255" i="1"/>
  <c r="H255" i="1"/>
  <c r="A256" i="1"/>
  <c r="F256" i="1"/>
  <c r="H256" i="1"/>
  <c r="A254" i="1"/>
  <c r="F254" i="1"/>
  <c r="H254" i="1"/>
  <c r="A94" i="1"/>
  <c r="F96" i="1"/>
  <c r="H96" i="1"/>
  <c r="A172" i="1"/>
  <c r="F172" i="1"/>
  <c r="H172" i="1"/>
  <c r="A173" i="1"/>
  <c r="F173" i="1"/>
  <c r="H173" i="1"/>
  <c r="A171" i="1"/>
  <c r="F171" i="1"/>
  <c r="H171" i="1"/>
  <c r="A145" i="1"/>
  <c r="F145" i="1"/>
  <c r="H145" i="1"/>
  <c r="A226" i="1"/>
  <c r="F226" i="1"/>
  <c r="H226" i="1"/>
  <c r="A225" i="1"/>
  <c r="F225" i="1"/>
  <c r="H225" i="1"/>
  <c r="A223" i="1"/>
  <c r="F223" i="1"/>
  <c r="H223" i="1"/>
  <c r="A224" i="1"/>
  <c r="F224" i="1"/>
  <c r="H224" i="1"/>
  <c r="A215" i="1"/>
  <c r="F215" i="1"/>
  <c r="H215" i="1"/>
  <c r="A216" i="1"/>
  <c r="F216" i="1"/>
  <c r="H216" i="1"/>
  <c r="A206" i="1"/>
  <c r="F206" i="1"/>
  <c r="H206" i="1"/>
  <c r="A207" i="1"/>
  <c r="F207" i="1"/>
  <c r="H207" i="1"/>
  <c r="A147" i="1"/>
  <c r="F147" i="1"/>
  <c r="H147" i="1"/>
  <c r="A18" i="1"/>
  <c r="F18" i="1"/>
  <c r="H18" i="1"/>
  <c r="A203" i="1"/>
  <c r="F203" i="1"/>
  <c r="H203" i="1"/>
  <c r="A205" i="1"/>
  <c r="F205" i="1"/>
  <c r="H205" i="1"/>
  <c r="A204" i="1"/>
  <c r="F204" i="1"/>
  <c r="H204" i="1"/>
  <c r="A213" i="1"/>
  <c r="F213" i="1"/>
  <c r="H213" i="1"/>
  <c r="A212" i="1"/>
  <c r="F212" i="1"/>
  <c r="H212" i="1"/>
  <c r="A209" i="1"/>
  <c r="F209" i="1"/>
  <c r="H209" i="1"/>
  <c r="A210" i="1"/>
  <c r="F211" i="1"/>
  <c r="H211" i="1"/>
  <c r="A211" i="1"/>
  <c r="F210" i="1"/>
  <c r="H210" i="1"/>
  <c r="A208" i="1"/>
  <c r="F208" i="1"/>
  <c r="H208" i="1"/>
  <c r="A217" i="1"/>
  <c r="F217" i="1"/>
  <c r="H217" i="1"/>
  <c r="A117" i="1"/>
  <c r="F117" i="1"/>
  <c r="H117" i="1"/>
  <c r="A116" i="1"/>
  <c r="F116" i="1"/>
  <c r="H116" i="1"/>
  <c r="A128" i="1"/>
  <c r="F128" i="1"/>
  <c r="H128" i="1"/>
  <c r="A115" i="1"/>
  <c r="F115" i="1"/>
  <c r="H115" i="1"/>
  <c r="A202" i="1"/>
  <c r="F202" i="1"/>
  <c r="H202" i="1"/>
  <c r="A201" i="1"/>
  <c r="F201" i="1"/>
  <c r="H201" i="1"/>
  <c r="A200" i="1"/>
  <c r="F200" i="1"/>
  <c r="H200" i="1"/>
  <c r="A199" i="1"/>
  <c r="F199" i="1"/>
  <c r="H199" i="1"/>
  <c r="A196" i="1"/>
  <c r="F196" i="1"/>
  <c r="H196" i="1"/>
  <c r="A197" i="1"/>
  <c r="F197" i="1"/>
  <c r="H197" i="1"/>
  <c r="A195" i="1"/>
  <c r="F195" i="1"/>
  <c r="H195" i="1"/>
  <c r="A193" i="1"/>
  <c r="F193" i="1"/>
  <c r="H193" i="1"/>
  <c r="A111" i="1"/>
  <c r="F111" i="1"/>
  <c r="H111" i="1"/>
  <c r="A113" i="1"/>
  <c r="F113" i="1"/>
  <c r="H113" i="1"/>
  <c r="A112" i="1"/>
  <c r="F112" i="1"/>
  <c r="H112" i="1"/>
  <c r="A110" i="1"/>
  <c r="F110" i="1"/>
  <c r="H110" i="1"/>
  <c r="A194" i="1"/>
  <c r="F194" i="1"/>
  <c r="H194" i="1"/>
  <c r="A191" i="1"/>
  <c r="F191" i="1"/>
  <c r="H191" i="1"/>
  <c r="A192" i="1"/>
  <c r="F192" i="1"/>
  <c r="H192" i="1"/>
  <c r="A189" i="1"/>
  <c r="F189" i="1"/>
  <c r="H189" i="1"/>
  <c r="A190" i="1"/>
  <c r="F190" i="1"/>
  <c r="H190" i="1"/>
  <c r="A188" i="1"/>
  <c r="F188" i="1"/>
  <c r="H188" i="1"/>
  <c r="A187" i="1"/>
  <c r="F187" i="1"/>
  <c r="H187" i="1"/>
  <c r="A186" i="1"/>
  <c r="F186" i="1"/>
  <c r="H186" i="1"/>
  <c r="A185" i="1"/>
  <c r="F185" i="1"/>
  <c r="H185" i="1"/>
  <c r="A184" i="1"/>
  <c r="F184" i="1"/>
  <c r="H184" i="1"/>
  <c r="A182" i="1"/>
  <c r="F182" i="1"/>
  <c r="H182" i="1"/>
  <c r="A181" i="1"/>
  <c r="F181" i="1"/>
  <c r="H181" i="1"/>
  <c r="A183" i="1"/>
  <c r="F183" i="1"/>
  <c r="H183" i="1"/>
  <c r="A180" i="1"/>
  <c r="F180" i="1"/>
  <c r="H180" i="1"/>
  <c r="A179" i="1"/>
  <c r="F179" i="1"/>
  <c r="H179" i="1"/>
  <c r="A103" i="1"/>
  <c r="F103" i="1"/>
  <c r="H103" i="1"/>
  <c r="A102" i="1"/>
  <c r="F102" i="1"/>
  <c r="H102" i="1"/>
  <c r="A101" i="1"/>
  <c r="F101" i="1"/>
  <c r="H101" i="1"/>
  <c r="A253" i="1"/>
  <c r="F253" i="1"/>
  <c r="H253" i="1"/>
  <c r="A42" i="1"/>
  <c r="F42" i="1"/>
  <c r="H42" i="1"/>
  <c r="A252" i="1"/>
  <c r="F252" i="1"/>
  <c r="H252" i="1"/>
  <c r="A164" i="1"/>
  <c r="F164" i="1"/>
  <c r="H164" i="1"/>
  <c r="A163" i="1"/>
  <c r="F163" i="1"/>
  <c r="H163" i="1"/>
  <c r="A162" i="1"/>
  <c r="F162" i="1"/>
  <c r="H162" i="1"/>
  <c r="A151" i="1"/>
  <c r="F151" i="1"/>
  <c r="H151" i="1"/>
  <c r="A150" i="1"/>
  <c r="F150" i="1"/>
  <c r="H150" i="1"/>
  <c r="A41" i="1"/>
  <c r="A100" i="1"/>
  <c r="F41" i="1"/>
  <c r="H41" i="1"/>
  <c r="A36" i="1"/>
  <c r="F36" i="1"/>
  <c r="H36" i="1"/>
  <c r="A161" i="1"/>
  <c r="F161" i="1"/>
  <c r="H161" i="1"/>
  <c r="A37" i="1"/>
  <c r="F37" i="1"/>
  <c r="H37" i="1"/>
  <c r="A34" i="1"/>
  <c r="F34" i="1"/>
  <c r="H34" i="1"/>
  <c r="A33" i="1"/>
  <c r="F33" i="1"/>
  <c r="H33" i="1"/>
  <c r="A170" i="1"/>
  <c r="F170" i="1"/>
  <c r="H170" i="1"/>
  <c r="A169" i="1"/>
  <c r="F169" i="1"/>
  <c r="H169" i="1"/>
  <c r="A168" i="1"/>
  <c r="F168" i="1"/>
  <c r="H168" i="1"/>
  <c r="A167" i="1"/>
  <c r="F167" i="1"/>
  <c r="H167" i="1"/>
  <c r="A166" i="1"/>
  <c r="F166" i="1"/>
  <c r="H166" i="1"/>
  <c r="A165" i="1"/>
  <c r="F165" i="1"/>
  <c r="H165" i="1"/>
  <c r="A32" i="1"/>
  <c r="F32" i="1"/>
  <c r="H32" i="1"/>
  <c r="A160" i="1"/>
  <c r="F160" i="1"/>
  <c r="H160" i="1"/>
  <c r="A159" i="1"/>
  <c r="F159" i="1"/>
  <c r="H159" i="1"/>
  <c r="A158" i="1"/>
  <c r="F158" i="1"/>
  <c r="H158" i="1"/>
  <c r="A157" i="1"/>
  <c r="F157" i="1"/>
  <c r="H157" i="1"/>
  <c r="A156" i="1"/>
  <c r="F156" i="1"/>
  <c r="H156" i="1"/>
  <c r="A31" i="1"/>
  <c r="F31" i="1"/>
  <c r="H31" i="1"/>
  <c r="A155" i="1"/>
  <c r="F155" i="1"/>
  <c r="H155" i="1"/>
  <c r="A30" i="1"/>
  <c r="F30" i="1"/>
  <c r="H30" i="1"/>
  <c r="A29" i="1"/>
  <c r="F29" i="1"/>
  <c r="H29" i="1"/>
  <c r="A95" i="1"/>
  <c r="F95" i="1"/>
  <c r="H95" i="1"/>
  <c r="A2" i="1"/>
  <c r="A3" i="1"/>
  <c r="A4" i="1"/>
  <c r="F4" i="1"/>
  <c r="H4" i="1"/>
  <c r="F3" i="1"/>
  <c r="H3" i="1"/>
  <c r="F2" i="1"/>
  <c r="H2" i="1"/>
  <c r="A93" i="1"/>
  <c r="F93" i="1"/>
  <c r="H93" i="1"/>
  <c r="A144" i="1"/>
  <c r="F144" i="1"/>
  <c r="H144" i="1"/>
  <c r="A143" i="1"/>
  <c r="F143" i="1"/>
  <c r="H143" i="1"/>
  <c r="A141" i="1"/>
  <c r="F141" i="1"/>
  <c r="H141" i="1"/>
  <c r="A140" i="1"/>
  <c r="F140" i="1"/>
  <c r="H140" i="1"/>
  <c r="A136" i="1"/>
  <c r="F136" i="1"/>
  <c r="H136" i="1"/>
  <c r="A148" i="1"/>
  <c r="F148" i="1"/>
  <c r="H148" i="1"/>
  <c r="A135" i="1"/>
  <c r="F135" i="1"/>
  <c r="H135" i="1"/>
  <c r="A92" i="1"/>
  <c r="A133" i="1"/>
  <c r="A137" i="1"/>
  <c r="A138" i="1"/>
  <c r="A146" i="1"/>
  <c r="A134" i="1"/>
  <c r="F134" i="1"/>
  <c r="H134" i="1"/>
  <c r="F146" i="1"/>
  <c r="H146" i="1"/>
  <c r="H138" i="1"/>
  <c r="F137" i="1"/>
  <c r="H137" i="1"/>
  <c r="F133" i="1"/>
  <c r="H133" i="1"/>
  <c r="F100" i="1"/>
  <c r="H100" i="1"/>
  <c r="A28" i="1"/>
  <c r="F28" i="1"/>
  <c r="H28" i="1"/>
  <c r="A99" i="1"/>
  <c r="F99" i="1"/>
  <c r="H99" i="1"/>
  <c r="A27" i="1"/>
  <c r="F27" i="1"/>
  <c r="H27" i="1"/>
  <c r="A26" i="1"/>
  <c r="F26" i="1"/>
  <c r="H26" i="1"/>
  <c r="A98" i="1"/>
  <c r="F98" i="1"/>
  <c r="H98" i="1"/>
  <c r="A97" i="1"/>
  <c r="F97" i="1"/>
  <c r="H97" i="1"/>
  <c r="A109" i="1"/>
  <c r="F109" i="1"/>
  <c r="H109" i="1"/>
  <c r="A125" i="1"/>
  <c r="F125" i="1"/>
  <c r="H125" i="1"/>
  <c r="F92" i="1"/>
  <c r="H92" i="1"/>
  <c r="A90" i="1"/>
  <c r="F90" i="1"/>
  <c r="H90" i="1"/>
  <c r="A96" i="1"/>
  <c r="A91" i="1"/>
  <c r="F91" i="1"/>
  <c r="H91" i="1"/>
  <c r="F94" i="1"/>
  <c r="H94" i="1"/>
  <c r="A89" i="1"/>
  <c r="F89" i="1"/>
  <c r="H89" i="1"/>
  <c r="A46" i="1"/>
  <c r="A49" i="1"/>
  <c r="A48" i="1"/>
  <c r="A56" i="1"/>
  <c r="A60" i="1"/>
  <c r="A50" i="1"/>
  <c r="A57" i="1"/>
  <c r="A51" i="1"/>
  <c r="A52" i="1"/>
  <c r="A61" i="1"/>
  <c r="A53" i="1"/>
  <c r="A54" i="1"/>
  <c r="A58" i="1"/>
  <c r="A14" i="1"/>
  <c r="A11" i="1"/>
  <c r="A12" i="1"/>
  <c r="A13" i="1"/>
  <c r="A16" i="1"/>
  <c r="A17" i="1"/>
  <c r="A19" i="1"/>
  <c r="A25" i="1"/>
  <c r="A20" i="1"/>
  <c r="A21" i="1"/>
  <c r="A22" i="1"/>
  <c r="A23" i="1"/>
  <c r="A24" i="1"/>
  <c r="A10" i="1"/>
  <c r="A6" i="1"/>
  <c r="A7" i="1"/>
  <c r="A8" i="1"/>
  <c r="A9" i="1"/>
  <c r="A108" i="1"/>
  <c r="A129" i="1"/>
  <c r="A114" i="1"/>
  <c r="A118" i="1"/>
  <c r="A119" i="1"/>
  <c r="A124" i="1"/>
  <c r="A120" i="1"/>
  <c r="A122" i="1"/>
  <c r="A121" i="1"/>
  <c r="A123" i="1"/>
  <c r="A104" i="1"/>
  <c r="A105" i="1"/>
  <c r="A106" i="1"/>
  <c r="A107" i="1"/>
  <c r="A218" i="1"/>
  <c r="A62" i="1"/>
  <c r="A88" i="1"/>
  <c r="A87" i="1"/>
  <c r="A63" i="1"/>
  <c r="A64" i="1"/>
  <c r="A65" i="1"/>
  <c r="A66" i="1"/>
  <c r="A67" i="1"/>
  <c r="A78" i="1"/>
  <c r="A68" i="1"/>
  <c r="A69" i="1"/>
  <c r="A38" i="1"/>
  <c r="A39" i="1"/>
  <c r="A40" i="1"/>
  <c r="A149" i="1"/>
  <c r="A219" i="1"/>
  <c r="A152" i="1"/>
  <c r="A153" i="1"/>
  <c r="A70" i="1"/>
  <c r="A71" i="1"/>
  <c r="A72" i="1"/>
  <c r="A73" i="1"/>
  <c r="A74" i="1"/>
  <c r="A75" i="1"/>
  <c r="A76" i="1"/>
  <c r="A221" i="1"/>
  <c r="A222" i="1"/>
  <c r="A227" i="1"/>
  <c r="A230" i="1"/>
  <c r="A231" i="1"/>
  <c r="A232" i="1"/>
  <c r="A233" i="1"/>
  <c r="A249" i="1"/>
  <c r="A250" i="1"/>
  <c r="A251" i="1"/>
  <c r="A59" i="1"/>
  <c r="F59" i="1"/>
  <c r="H59" i="1"/>
  <c r="A43" i="1"/>
  <c r="H38" i="1"/>
  <c r="H39" i="1"/>
  <c r="H40" i="1"/>
  <c r="H149" i="1"/>
  <c r="H219" i="1"/>
  <c r="H152" i="1"/>
  <c r="H153" i="1"/>
  <c r="H70" i="1"/>
  <c r="H71" i="1"/>
  <c r="H72" i="1"/>
  <c r="H73" i="1"/>
  <c r="H74" i="1"/>
  <c r="H75" i="1"/>
  <c r="H76" i="1"/>
  <c r="H221" i="1"/>
  <c r="H222" i="1"/>
  <c r="H227" i="1"/>
  <c r="H228" i="1"/>
  <c r="H230" i="1"/>
  <c r="H231" i="1"/>
  <c r="H232" i="1"/>
  <c r="H233" i="1"/>
  <c r="H249" i="1"/>
  <c r="H250" i="1"/>
  <c r="H251" i="1"/>
  <c r="F38" i="1"/>
  <c r="F39" i="1"/>
  <c r="F40" i="1"/>
  <c r="F149" i="1"/>
  <c r="F219" i="1"/>
  <c r="F152" i="1"/>
  <c r="F153" i="1"/>
  <c r="F70" i="1"/>
  <c r="F71" i="1"/>
  <c r="F72" i="1"/>
  <c r="F73" i="1"/>
  <c r="F74" i="1"/>
  <c r="F75" i="1"/>
  <c r="F76" i="1"/>
  <c r="F221" i="1"/>
  <c r="F222" i="1"/>
  <c r="F227" i="1"/>
  <c r="F228" i="1"/>
  <c r="F230" i="1"/>
  <c r="F231" i="1"/>
  <c r="F232" i="1"/>
  <c r="F233" i="1"/>
  <c r="F249" i="1"/>
  <c r="F250" i="1"/>
  <c r="F251" i="1"/>
  <c r="F104" i="1"/>
  <c r="H104" i="1"/>
  <c r="F105" i="1"/>
  <c r="H105" i="1"/>
  <c r="F106" i="1"/>
  <c r="H106" i="1"/>
  <c r="F107" i="1"/>
  <c r="H107" i="1"/>
  <c r="F122" i="1"/>
  <c r="H122" i="1"/>
  <c r="F121" i="1"/>
  <c r="H121" i="1"/>
  <c r="F120" i="1"/>
  <c r="H120" i="1"/>
  <c r="F124" i="1"/>
  <c r="H124" i="1"/>
  <c r="F119" i="1"/>
  <c r="H119" i="1"/>
  <c r="F118" i="1"/>
  <c r="H118" i="1"/>
  <c r="F114" i="1"/>
  <c r="H114" i="1"/>
  <c r="F129" i="1"/>
  <c r="H129" i="1"/>
  <c r="F123" i="1"/>
  <c r="H123" i="1"/>
  <c r="F218" i="1"/>
  <c r="H218" i="1"/>
  <c r="F108" i="1"/>
  <c r="H108" i="1"/>
  <c r="F9" i="1"/>
  <c r="H9" i="1"/>
  <c r="F8" i="1"/>
  <c r="H8" i="1"/>
  <c r="F7" i="1"/>
  <c r="H7" i="1"/>
  <c r="F6" i="1"/>
  <c r="H6" i="1"/>
  <c r="F10" i="1"/>
  <c r="H10" i="1"/>
  <c r="F24" i="1"/>
  <c r="H24" i="1"/>
  <c r="F23" i="1"/>
  <c r="H23" i="1"/>
  <c r="F22" i="1"/>
  <c r="H22" i="1"/>
  <c r="F21" i="1"/>
  <c r="H21" i="1"/>
  <c r="F20" i="1"/>
  <c r="H20" i="1"/>
  <c r="F25" i="1"/>
  <c r="H25" i="1"/>
  <c r="F17" i="1"/>
  <c r="H17" i="1"/>
  <c r="F19" i="1"/>
  <c r="H19" i="1"/>
  <c r="F16" i="1"/>
  <c r="H16" i="1"/>
  <c r="F88" i="1"/>
  <c r="F87" i="1"/>
  <c r="F63" i="1"/>
  <c r="F64" i="1"/>
  <c r="F65" i="1"/>
  <c r="F66" i="1"/>
  <c r="F67" i="1"/>
  <c r="F78" i="1"/>
  <c r="F68" i="1"/>
  <c r="F69" i="1"/>
  <c r="H88" i="1"/>
  <c r="H87" i="1"/>
  <c r="H63" i="1"/>
  <c r="H64" i="1"/>
  <c r="H65" i="1"/>
  <c r="H66" i="1"/>
  <c r="H67" i="1"/>
  <c r="H78" i="1"/>
  <c r="H68" i="1"/>
  <c r="H69" i="1"/>
  <c r="F62" i="1"/>
  <c r="H62" i="1"/>
  <c r="F13" i="1"/>
  <c r="H13" i="1"/>
  <c r="F12" i="1"/>
  <c r="H12" i="1"/>
  <c r="F11" i="1"/>
  <c r="H11" i="1"/>
  <c r="F14" i="1"/>
  <c r="H14" i="1"/>
  <c r="F43" i="1"/>
  <c r="H43" i="1"/>
  <c r="H44" i="1"/>
  <c r="H45" i="1"/>
  <c r="H55" i="1"/>
  <c r="H47" i="1"/>
  <c r="H46" i="1"/>
  <c r="H49" i="1"/>
  <c r="H48" i="1"/>
  <c r="H56" i="1"/>
  <c r="H60" i="1"/>
  <c r="H50" i="1"/>
  <c r="H57" i="1"/>
  <c r="H51" i="1"/>
  <c r="H52" i="1"/>
  <c r="H61" i="1"/>
  <c r="H53" i="1"/>
  <c r="H54" i="1"/>
  <c r="H58" i="1"/>
  <c r="F44" i="1"/>
  <c r="F45" i="1"/>
  <c r="F55" i="1"/>
  <c r="F47" i="1"/>
  <c r="F46" i="1"/>
  <c r="F49" i="1"/>
  <c r="F48" i="1"/>
  <c r="F56" i="1"/>
  <c r="F60" i="1"/>
  <c r="F50" i="1"/>
  <c r="F57" i="1"/>
  <c r="F51" i="1"/>
  <c r="F52" i="1"/>
  <c r="F61" i="1"/>
  <c r="F53" i="1"/>
  <c r="F54" i="1"/>
  <c r="F58" i="1"/>
  <c r="D291" i="1"/>
  <c r="A44" i="1"/>
  <c r="A45" i="1"/>
  <c r="A55" i="1"/>
  <c r="A47" i="1"/>
  <c r="H291" i="1" l="1"/>
  <c r="K291" i="1" l="1"/>
</calcChain>
</file>

<file path=xl/sharedStrings.xml><?xml version="1.0" encoding="utf-8"?>
<sst xmlns="http://schemas.openxmlformats.org/spreadsheetml/2006/main" count="323" uniqueCount="320">
  <si>
    <t>№ п/п</t>
  </si>
  <si>
    <t>Наименование</t>
  </si>
  <si>
    <t>НЕВА МБ-2 GB 225 7л.с.</t>
  </si>
  <si>
    <t>НЕВА МБ-23 9л.с.</t>
  </si>
  <si>
    <t>БРАЙТ BR-135 GA 7л.с.</t>
  </si>
  <si>
    <t>БРАЙТ 105 PRO 7л.с.</t>
  </si>
  <si>
    <t>ФОРЗА ПРО 7 л.с.</t>
  </si>
  <si>
    <t xml:space="preserve">Агат Лифан 7 л.с. </t>
  </si>
  <si>
    <t>Форза (ременный) 7 л.с.</t>
  </si>
  <si>
    <t xml:space="preserve">Мотоблок Брайт-135GB НМБ 9л.с.  </t>
  </si>
  <si>
    <t>Мотоблок BRAIT BR‑135GBE (9 л.с. с электростартером)</t>
  </si>
  <si>
    <t>Мотоблок МБ820 (8 л.с.)</t>
  </si>
  <si>
    <t>Итог</t>
  </si>
  <si>
    <t>Цена поступления (руб. за шт.)</t>
  </si>
  <si>
    <t>Цена реализации (руб. за шт.)</t>
  </si>
  <si>
    <t>Сумма поступления (руб.)</t>
  </si>
  <si>
    <t>Сумма реализации (руб.)</t>
  </si>
  <si>
    <t>Генератор Champion GG6500</t>
  </si>
  <si>
    <t>Генератор Патриот SRGE -6500</t>
  </si>
  <si>
    <t>Генератор FAVORITE PG-2800</t>
  </si>
  <si>
    <t>Генератор BRAIT BR - 9000 CU(E), электростартер (запуск с ключа).</t>
  </si>
  <si>
    <t>Культиватор Брайт-65 6,5л.с., 52кг</t>
  </si>
  <si>
    <t xml:space="preserve">Картофелесажалка </t>
  </si>
  <si>
    <t xml:space="preserve">Адаптер </t>
  </si>
  <si>
    <t xml:space="preserve">Снегоуборочная приставка </t>
  </si>
  <si>
    <t>Коса под ВОМ 14 мм и 18 мм</t>
  </si>
  <si>
    <t xml:space="preserve">Коса заря </t>
  </si>
  <si>
    <t>Коса МР 800 (китай)</t>
  </si>
  <si>
    <t>Грабли сеноуборочные</t>
  </si>
  <si>
    <t>Картофелекопалка вибрационная</t>
  </si>
  <si>
    <t>Коса КРН-1М</t>
  </si>
  <si>
    <t>На остатке (шт.)</t>
  </si>
  <si>
    <t>Двигатель CHAMPION G210-HK,7 л/с, вал 19мм.</t>
  </si>
  <si>
    <t>Двигатель LIFAN 170F, 212 см3, вал 19мм.</t>
  </si>
  <si>
    <t>Двигатель CHAMPION G200-1HK,6,5 л/с, вал 19мм.</t>
  </si>
  <si>
    <t>Двигатель WOMBAT EX210S, 212 см3</t>
  </si>
  <si>
    <t>Двигатель BRAIT BR-220PG 25, 7 л/с, вал шлицы</t>
  </si>
  <si>
    <t>Двигатель BRAIT 275PEG, 270 см3, вал 25</t>
  </si>
  <si>
    <t>Двигатель CHAMPION G390-1HK</t>
  </si>
  <si>
    <t>Двигатель VALKOR LT177F, 270см3</t>
  </si>
  <si>
    <t>Двигатель CHAMPION G210 HT, 7 л/с, резьба 19мм.</t>
  </si>
  <si>
    <t>Электрическая газонокосилка CHAMPION EM3411, 1000 Вт, 32 см</t>
  </si>
  <si>
    <t>Электрическая газонокосилка ХОПЕР ГКЭ-1000</t>
  </si>
  <si>
    <t>Электрическая газонокосилка P.I.T. PLM40-C, 2000 Вт, 40 см</t>
  </si>
  <si>
    <t>Бензиновая газонокосилка CHAMPION LM4622, 3 л.с., 46 см</t>
  </si>
  <si>
    <t>Бензиновая газонокосилка P.I.T. PLM51-C2, 3.5 л.с., 51 см</t>
  </si>
  <si>
    <t>Снегоуборщик электрический CHAMPION STE1650, 1600 Вт</t>
  </si>
  <si>
    <t>Мотоблок МОБИЛ К МКМ-3 ПРО (дв. Мобил К ПРО G200FA 6,5 л/с)</t>
  </si>
  <si>
    <t>Воздуходувка-пылесос электрическая CHAMPION EB4510</t>
  </si>
  <si>
    <t>Газонокосилка электрическая ручная Диолд ГРЭ-1,7 - 02</t>
  </si>
  <si>
    <t>Бензиновый садовый триммер Oasis TB-250P 3,3 л.с.</t>
  </si>
  <si>
    <t>Триммер бензиновый CHAMPION T523S-2</t>
  </si>
  <si>
    <t>FUBAG Триммер садовый бензиновый FPT 43</t>
  </si>
  <si>
    <t>Триммер бензиновый Fubag FPT 43R, 1.75 л.с.</t>
  </si>
  <si>
    <t>Триммер электрический CHAMPION ET1211A, 1200 Вт, 40 см</t>
  </si>
  <si>
    <t>Сварочный аппарат Ресанта САИ-250</t>
  </si>
  <si>
    <t>Сварочный аппарат Ресанта САИ-220</t>
  </si>
  <si>
    <t>Сварочный аппарат Ресанта САИ-190</t>
  </si>
  <si>
    <t>Сварочный инвертор АВРОРА Вектор 2000</t>
  </si>
  <si>
    <t>УШМ ИНТЕРСКОЛ 125/900, 900Вт, 125мм, 11000об/мин,  2,2кг</t>
  </si>
  <si>
    <t>Маркер краска MunHwa PM-01 черный, ширина линии 4мм</t>
  </si>
  <si>
    <t>Закрепитель резьбы ABRO красный, 6мл</t>
  </si>
  <si>
    <t>Смазка мастер ВАЛЕРА, ВМПавто, преобразующая ржавчину, 210мл, аэрозоль</t>
  </si>
  <si>
    <t>Кронштейн для сцепки FZ (Целина МБ, Каскад, Кадви, Нева)</t>
  </si>
  <si>
    <t>Окучник двухрядный FZ б/сц регулируемый, раздвижной (Каскад, Кадви, Нева) (ширина 700cм, высота 610мм)</t>
  </si>
  <si>
    <t>Окучник-пропольник FZ б/сц регулируемый, на траверсе (Целина МБ, Каскад, Кадви, Нева)</t>
  </si>
  <si>
    <t>Сцепка универсальная FZ (Целина МБ, Каскад, Кадви, Нева) (внутренний кронштейн)</t>
  </si>
  <si>
    <t>Сцепка универсальная FZ (Целина МБ, Каскад, Кадви, Нева) (наружный кронштейн)</t>
  </si>
  <si>
    <t>Сцепка универсальная FZ (Целина МБ, Каскад, Кадви, Нева) без кронштейна, поворотная.</t>
  </si>
  <si>
    <t>Плуг П1-20/2, захват 190мм Мобил К</t>
  </si>
  <si>
    <t>Насос погружной Энергопром НБВ-100/10, 280Вт, 18л/мин, напор 70м, верхний забор, шнур 10м, 3,55кг</t>
  </si>
  <si>
    <t>Насос погружной Энергопром НБН-100/10, 280Вт, 18л/мин, напор 70м, нижний забор, шнур 10м, 3,55кг</t>
  </si>
  <si>
    <t>Горелка пропановая газовоздушная ГВ-901В, вентильная, L-900мм, ПТК</t>
  </si>
  <si>
    <t>Горелка пропановая газовоздушная ГВ-901Р, клапанная, L-900мм, сопло 50мм, ПТК</t>
  </si>
  <si>
    <t>Колесо для тележки строительной, камерное, 3,25/3,00-8, с подшипником 16мм, обод металл</t>
  </si>
  <si>
    <t>Колесо для тележки строительной, камерное, 3,25/3,00-8, с подшипником 20мм, обод металл</t>
  </si>
  <si>
    <t>Колесо для тележки строительной, камерное, 4,80/4,00-8, с подшипником 12мм, обод металл</t>
  </si>
  <si>
    <t>Колесо для тележки строительной, камерное, 4,80/4,00-8, с подшипником 20мм, обод металл</t>
  </si>
  <si>
    <t>Электроды MAGMAWELD ESR 11 (аналог ОК 46.00) Ø2,0мм, 1кг (12)</t>
  </si>
  <si>
    <t>Электроды MAGMAWELD ESR 11 (аналог ОК 46.00) Ø2,5мм, 1кг (12)</t>
  </si>
  <si>
    <t>Электроды MAGMAWELD ESR 11 (аналог ОК 46.00) Ø3,0мм, 1кг (12)</t>
  </si>
  <si>
    <t>Напильник для заточки цепи CHAMPION 4,5мм</t>
  </si>
  <si>
    <t>Напильник для заточки цепи CHAMPION 4,0мм</t>
  </si>
  <si>
    <t>Напильник для заточки цепи CHAMPION 4,8мм</t>
  </si>
  <si>
    <t>Категория</t>
  </si>
  <si>
    <t>Мотоблоки</t>
  </si>
  <si>
    <t>Генераторы</t>
  </si>
  <si>
    <t>Двигатели</t>
  </si>
  <si>
    <t>Триммеры</t>
  </si>
  <si>
    <t>Сварочные аппараты</t>
  </si>
  <si>
    <t>Навесное оборудование</t>
  </si>
  <si>
    <t>Инструменты</t>
  </si>
  <si>
    <t>Химия</t>
  </si>
  <si>
    <t>Дата</t>
  </si>
  <si>
    <t>Мотоблок бензиновый BRAIT BR-135GES | 17 л. с | 4 вперед/1 назад</t>
  </si>
  <si>
    <t>Мотоблок "BRAIT" 135 GD PRO (15 л.с., с понижающей передачей) 3-х скр.</t>
  </si>
  <si>
    <t>Культиватор бензиновый BRAIT BR-50, 3 л.с.</t>
  </si>
  <si>
    <t>Мотоблок БУЛАТ МБ-8 л.с., 206 см3</t>
  </si>
  <si>
    <t>Мотоблок бензиновый BRAIT BR-105, 7 л.с.</t>
  </si>
  <si>
    <t>Культиватор бензиновый Forza MK-85F, 6.53 л.с.</t>
  </si>
  <si>
    <t>Рычажный опрыскиватель CHAMPION SL12</t>
  </si>
  <si>
    <t>Опрыскиватель Union ОР-12АТ аккумуляторный 12л</t>
  </si>
  <si>
    <t>Опрыскиватели</t>
  </si>
  <si>
    <t>Аккумуляторный опрыскиватель BRAIT BES-16AC 16 литров</t>
  </si>
  <si>
    <t>Аккумуляторный опрыскиватель BRAIT BES-10AC, 10 л</t>
  </si>
  <si>
    <t>Аккумуляторный опрыскиватель BRAIT BES-12АС, 12 л</t>
  </si>
  <si>
    <t>Триммер бензиновый Fubag FPT 52, 2 л.с., 25.5 см</t>
  </si>
  <si>
    <t>Снегоуборщик бензиновый Brait (Брайт) BR - T6556</t>
  </si>
  <si>
    <t>Снегоуборщики</t>
  </si>
  <si>
    <t>Газонокосилки</t>
  </si>
  <si>
    <t>Перфоратор Wert ERH 1128HRE, 1150 Вт</t>
  </si>
  <si>
    <t>Перфораторы</t>
  </si>
  <si>
    <t>Перфоратор Интерскол П-24/700ЭР, 720 Вт</t>
  </si>
  <si>
    <t>Дрель ударная ИНТЕРСКОЛ ДУ-16/1000ЭР</t>
  </si>
  <si>
    <t>Дрель RedVerg RD-ID1000/2S ударная</t>
  </si>
  <si>
    <t>Перфоратор Диолд ПРЭГ-24-01</t>
  </si>
  <si>
    <t>Ударная дрель Felisatti DI16/850GE2, 850 Вт</t>
  </si>
  <si>
    <t>Полировальная машина Энкор МПЭ-1200/180Э, 1200 Вт</t>
  </si>
  <si>
    <t>Профессиональная углошлифовальная машина с бесщеточным (вентильным) двигателем УШМ-125/18В</t>
  </si>
  <si>
    <t>Аккумуляторная угловая шлифмашина Диолд АМШУ-20ЛИ-01</t>
  </si>
  <si>
    <t>Угловая шлифмашина (болгарка) Диолд МШУ-0,95-01</t>
  </si>
  <si>
    <t>УШМ РЕСАНТА УШМ-125/1100, 1100 Вт, 125 мм</t>
  </si>
  <si>
    <t>УШМ P.I.T. PWS 125-C6, 1050 Вт, 125 мм</t>
  </si>
  <si>
    <t>УШМ Wert EAG 2023T, 2000 Вт, 230 мм</t>
  </si>
  <si>
    <t>УШМ Интерскол УШМ-125/700 529.1.0.00, 710 Вт, 125 мм</t>
  </si>
  <si>
    <t>Угловая шлифмашина (болгарка) Диолд МШУ-1,3-03</t>
  </si>
  <si>
    <t>Угловая шлифмашина (болгарка) Диолд МШУ-1,8-02</t>
  </si>
  <si>
    <t>Угловая шлифмашина (болгарка) Диолд МШУ-1,5-02</t>
  </si>
  <si>
    <t>Угловая шлифовальная машина ИНТЕРСКОЛ УШМ-230/2000М</t>
  </si>
  <si>
    <t>Опрыскиватель ручной Pressure Sprayer 5 lte</t>
  </si>
  <si>
    <t>Бетоносмесители</t>
  </si>
  <si>
    <t>Бетоносмеситель BRAIT BR-130 (500W, 130л) Допустимая загрузка 85л, ремень 6PJ630</t>
  </si>
  <si>
    <t>Бетономешалка BRAIT BR-220</t>
  </si>
  <si>
    <t>Бетономешалка Диолд БСЭ-190-02</t>
  </si>
  <si>
    <t>Опрыскиватель Union ОР-16АТ аккумуляторный 16л</t>
  </si>
  <si>
    <t>Дрели</t>
  </si>
  <si>
    <t>Шуруповёрты</t>
  </si>
  <si>
    <t>Аккумуляторная дрель-шуруповерт Wert CD 10.8-2TLi</t>
  </si>
  <si>
    <t>Аккумуляторная дрель-шуруповерт Wert CD 10.8TLi</t>
  </si>
  <si>
    <t>Аккумуляторная дрель-шуруповерт Дифмаш ША-21-01М</t>
  </si>
  <si>
    <t>Аккумуляторная дрель-шуруповерт Диолд ДЭА-12ЛИ-09</t>
  </si>
  <si>
    <t>Аккумуляторная дрель-шуруповерт РЕСАНТА ДА-18-2ЛК</t>
  </si>
  <si>
    <t>Аккумуляторная дрель-шуруповерт P.I.T. PSR 24-D1</t>
  </si>
  <si>
    <t>Аккумуляторная дрель-шуруповерт ИНТЕРСКОЛ ДА-12ЭР</t>
  </si>
  <si>
    <t>Аккумуляторная дрель-шуруповерт P.I.T. PSR 12-D</t>
  </si>
  <si>
    <t>Ударная дрель ДИОЛД МЭСУ-1-01, 600 Вт синий</t>
  </si>
  <si>
    <t>Электролобзики</t>
  </si>
  <si>
    <t>Электролобзик Wert EJS 0910 PLQE, 850 Вт</t>
  </si>
  <si>
    <t>Электролобзик ДИОЛД ПЛЭ-1-02 М, 450 Вт</t>
  </si>
  <si>
    <t>Электролобзик ДИОЛД ПЛЭ-1-07М, 850 Вт</t>
  </si>
  <si>
    <t>Электролобзик Интерскол МП-55/500Э, 500 Вт</t>
  </si>
  <si>
    <t>Электролобзик P.I.T. PST90-C1, 900 Вт серый/черный</t>
  </si>
  <si>
    <t>Электролобзик Дифмаш ЛП-010, 500 Вт</t>
  </si>
  <si>
    <t>Ударная дрель Интерскол ДУ-13/780ЭР, 780 Вт</t>
  </si>
  <si>
    <t>Ударная дрель ДИОЛД МЭСУ-6-01, 900 Вт синий</t>
  </si>
  <si>
    <t>Безударная дрель Felisatti D13/700GE, 710 Вт</t>
  </si>
  <si>
    <t>Дрель-шуруповерт P.I.T. PBM10-С2, 400 Вт</t>
  </si>
  <si>
    <t>Безударная дрель Интерскол Д-10/420ЭР, 420 Вт серый</t>
  </si>
  <si>
    <t>Краскораспылитель Диолд КРЭ-2</t>
  </si>
  <si>
    <t>Строительный фен ДИОЛД ВГВ-2-01, 2000 Вт синий</t>
  </si>
  <si>
    <t>Фен строительный Дифмаш ФТ-020</t>
  </si>
  <si>
    <t>Дрель-шуруповерт ДИОЛД ЭШ-0.56, 560 Вт</t>
  </si>
  <si>
    <t>Дрель-шуруповерт ДИОЛД ЭШ-0.56-2, 560 Вт</t>
  </si>
  <si>
    <t>Дрель-шуруповерт Дифмаш ШС-030, 650 Вт</t>
  </si>
  <si>
    <t>Ударный гайковерт P.I.T. PIW1050-C, 1050 Вт</t>
  </si>
  <si>
    <t>Краскораспылитель Диолд КРЭ-3</t>
  </si>
  <si>
    <t>Строительный миксер ProCraft PMM2000, 2000 Вт зелeный</t>
  </si>
  <si>
    <t>Полировальные машины</t>
  </si>
  <si>
    <t>Краскопульты</t>
  </si>
  <si>
    <t>Фены</t>
  </si>
  <si>
    <t>Эксцентриковая шлифмашина ДИОЛД МП-0,42, 420 Вт</t>
  </si>
  <si>
    <t>Эксцентриковая машина P. I. T. PDS150-C</t>
  </si>
  <si>
    <t>Эксцентриковая шлифмашина РЕСАНТА ЭШМ-125Э, 450 Вт</t>
  </si>
  <si>
    <t>Электрорубанок ДИОЛД РЭ-900-01, 900 Вт</t>
  </si>
  <si>
    <t>Электрорубанок Интерскол Р-110/1100М, со стационарным креплением, 1100 Вт</t>
  </si>
  <si>
    <t>Плоскошлифовальная машина Интерскол ПШМ-115/300Э, 300 Вт</t>
  </si>
  <si>
    <t>Рубанок P. I. T. PEP006L-C1</t>
  </si>
  <si>
    <t>Электрорубанок Энкор РЭ-800/82, 800 Вт</t>
  </si>
  <si>
    <t>Вертикальный фрезер Фиолент Фрезер ФИОЛЕНТ МФ3-1100Э, 1100 Вт</t>
  </si>
  <si>
    <t>Вертикальный фрезер Wert EVR 1450E, 1400 Вт</t>
  </si>
  <si>
    <t>Вертикальный фрезер ДИОЛД МЭФ-2,1, 2100 Вт</t>
  </si>
  <si>
    <t>Пила циркулярная Patriot CS141, мощность 1050 Вт, пильный диск 140 мм, подрезной нож</t>
  </si>
  <si>
    <t>Дисковая пила ДИОЛД ДП-1,3-02, 1300 Вт</t>
  </si>
  <si>
    <t>Дисковая пила РЕСАНТА ДП-190/1800, 1800 Вт</t>
  </si>
  <si>
    <t>Дисковая пила ДИОЛД ДП-1,5-02, 1500 Вт</t>
  </si>
  <si>
    <t>Дисковая пила P.I.T. PKS200-C, 2000 Вт</t>
  </si>
  <si>
    <t>Дисковая пила P.I.T. PKS185-C2, 1300 Вт</t>
  </si>
  <si>
    <t>Дисковая пила Интерскол ДП-210/2000М, 2000 Вт</t>
  </si>
  <si>
    <t>Станок для заточки универсальный ДИОЛД ЭТБ-250/150</t>
  </si>
  <si>
    <t>Точила</t>
  </si>
  <si>
    <t>Точило с подсветкой ИНТЕРСКОЛ Т-125/120</t>
  </si>
  <si>
    <t>Станок для заточки универсальный ДИОЛД ЭТБ-200/125</t>
  </si>
  <si>
    <t>Монтажная пила P.I.T. PCM355-C1</t>
  </si>
  <si>
    <t>Мойка высокого давления PATRIOT GT 540 Imperial, 130 бар, 420 л/ч</t>
  </si>
  <si>
    <t>Мойка высокого давления Интерскол АМ-140/1700, 140 бар, 300 л/ч</t>
  </si>
  <si>
    <t>Мойка высокого давления BRAIT BR-1200B</t>
  </si>
  <si>
    <t>Компрессор масляный ДИОЛД КВП-1-2100-50, 50 л, 2.1 кВт</t>
  </si>
  <si>
    <t>Компрессор масляный Garage ST 24.F230/1.3, 24 л, 1.3 кВт</t>
  </si>
  <si>
    <t>Компрессор Garage PRO 50. F320/2.0</t>
  </si>
  <si>
    <t>УШМ Интерскол УШМ-125/1200, 1200 Вт, 125 мм</t>
  </si>
  <si>
    <t>Триммер бензиновый БТ-430, 2.5 л.с.</t>
  </si>
  <si>
    <t>Триммер бензиновый CHAMPION T333S-2, 1.22 л.с., 40 см</t>
  </si>
  <si>
    <t>Триммер бензиновый PATRIOT PT 555 XT, 3 л.с., 46 см</t>
  </si>
  <si>
    <t>Триммер бензиновый CHAMPION T433-2, 1.7 л.с., 40 см</t>
  </si>
  <si>
    <t>Триммер бензиновый CHAMPION Т523S-2, 1.9 л.с., 40 см</t>
  </si>
  <si>
    <t>Пила цепная электрическая P.I.T. PKE405-C5 PRO</t>
  </si>
  <si>
    <t>Пила цепная бензиновая P.I.T. GCS52-C5</t>
  </si>
  <si>
    <t>Бензиновая цепная пила Парма БП 045/15 1800 Вт/2.5 л.с.</t>
  </si>
  <si>
    <t>Бензиновая цепная пила Husqvarna 120 Mark II шина 16" 1400 Вт/1.9 л.с</t>
  </si>
  <si>
    <t>Бензиновая цепная пила ECHO CS-353ES-14 1590 Вт/2.16 л.с</t>
  </si>
  <si>
    <t>Пила цепная бензиновая БУЛАТ БП 2200/20 2,2кВт</t>
  </si>
  <si>
    <t>Бензиновая цепная пила Oleo-Mac GSH 51-18 2200 Вт/3 л.с</t>
  </si>
  <si>
    <t>Электрический строительный миксер P.I.T. PHM250-С, 1600 Вт</t>
  </si>
  <si>
    <t>Профессиональный пылесос P.I.T. PVC30-C, 1500 Вт</t>
  </si>
  <si>
    <t>Электрический строительный миксер ProCraft PMM2000, 2000 Вт</t>
  </si>
  <si>
    <t>Двигатель CHAMPION G200 VK/2 6,0 л. с. вертикальный вал</t>
  </si>
  <si>
    <t>Углошлифовальная машина Ресанта УШМ-125/1200Э</t>
  </si>
  <si>
    <t>Бензиновая цепная пила  STIHL MS 170-14" 1300 Вт/1,8 л.с</t>
  </si>
  <si>
    <t>Бензиновая цепная пила STIHL MS 180-16" 1500 Вт/2 л.с</t>
  </si>
  <si>
    <t>Электрическая цепная пила CHAMPION 120-14 2000 Вт</t>
  </si>
  <si>
    <t>Бензиновая пила CHAMPION 125T-10 700 Вт/0.95 л.с</t>
  </si>
  <si>
    <t>Дренажный насос Aiken MSP-092 (800 Вт)</t>
  </si>
  <si>
    <t>Дренажный насос ДИОЛД НД-800-01 (800 Вт)</t>
  </si>
  <si>
    <t>Дренажный насос для чистой воды ВИХРЬ ДН-400 (400 Вт)</t>
  </si>
  <si>
    <t>Насос фекальный P. I. T. PSW750-W</t>
  </si>
  <si>
    <t>Углошлифовальная машина Ресанта УШМ-11000А/125</t>
  </si>
  <si>
    <t>% от вложенных</t>
  </si>
  <si>
    <t>% от вырученных</t>
  </si>
  <si>
    <t>Пушка тепловая газовая Aiken MGH 10R (10 кВт, напряжение 220 В, расход газа - 1,1 кг/час, Ижевский завод тепловой техники</t>
  </si>
  <si>
    <t>Газовая тепловая пушка Профтепло КГ-18 (18 кВт)</t>
  </si>
  <si>
    <t>Газовая тепловая пушка РЕСАНТА ТГП-50000 (50 кВт)</t>
  </si>
  <si>
    <t>Опрыскиватель бензиновый BRAIT BGS430-14</t>
  </si>
  <si>
    <t>Сварочный аппарат для пластиковых труб Ресанта АСПТ-2000</t>
  </si>
  <si>
    <t>Сварочный аппарат для пластиковых труб Ресанта АСПТ-1000</t>
  </si>
  <si>
    <t>Сварочный аппарат для пластиковых труб Wert WPT 1600</t>
  </si>
  <si>
    <t>Бензиновый садовый триммер Zerten TB-250P С</t>
  </si>
  <si>
    <t>Электрическая тепловая пушка РЕСАНТА ТЭПК-5000К (5 кВт)</t>
  </si>
  <si>
    <t>Тепловая пушка электрическая Диолд ТП-1-02 ЭК</t>
  </si>
  <si>
    <t>Электрическая тепловая пушка / тепловентилятор керамический Brait BR-2 (25/1000/2000Вт)</t>
  </si>
  <si>
    <t>Электрическая тепловая пушка Ballu BKN-3 (2.2 кВт)</t>
  </si>
  <si>
    <t>Тепловая пушка электрическая / тепловентилятор Brait BR-3 3 режима, 3 кВт, 220 м3/ч (керамический)</t>
  </si>
  <si>
    <t>БСБ-200 Бетоносмеситель "ДИОЛД"</t>
  </si>
  <si>
    <t>ВДМ-4 Мойка высокого давления "ДИОЛД"</t>
  </si>
  <si>
    <t>Угловая шлифмашина (болгарка) Диолд МШУ-1,1</t>
  </si>
  <si>
    <t>Многофункциональная вибрационная машина (реноватор) ДИОЛД МЭВ-0.34 МФ, в кейсе, 340 Вт</t>
  </si>
  <si>
    <t>Безударная дрель Диолд МЭС-5-01</t>
  </si>
  <si>
    <t>Насосная станция ДИОЛД СН-1200 (1200 Вт)</t>
  </si>
  <si>
    <t>Бензиновый триммер Диолд ТБ-3-43</t>
  </si>
  <si>
    <t>Бензиновый триммер Диолд ТБ-3-52</t>
  </si>
  <si>
    <t>Катушка Brait BTH-23 ПАУК (под резьбу)</t>
  </si>
  <si>
    <t>Бензиновая цепная пила Carver PSG-52-18 1900 Вт/2.6 л.с</t>
  </si>
  <si>
    <t>Секатор для обрезки садовых растений профессиональный "Ударник PS-807A" с металлической ручкой, 200 мм</t>
  </si>
  <si>
    <t>Секатор для обрезки садовых растений профессиональный "Ударник PS-808A"</t>
  </si>
  <si>
    <t>Леска для триммера 4,0*15 квадрат витой с тросом Дуо Твист</t>
  </si>
  <si>
    <t>Присадка к топливу Brait 2-T API TB минер., 1 л.</t>
  </si>
  <si>
    <t>Насадка для триммера "Гусиные лапки" 26/9</t>
  </si>
  <si>
    <t>Насадка для триммера "Фреза-культиватор" 26/9</t>
  </si>
  <si>
    <t>Насадка для триммера "Фреза-культиватор" 28/9</t>
  </si>
  <si>
    <t>Насадка для триммера "Фреза-культиватор" 28/7</t>
  </si>
  <si>
    <t>Насадка для триммера "Барабан с подрезателем" 26/9</t>
  </si>
  <si>
    <t>Катушка для триммера "Ударник", аналог Хус.128 (синяя кнопка)</t>
  </si>
  <si>
    <t>УШМ/МШУ</t>
  </si>
  <si>
    <t>Техника</t>
  </si>
  <si>
    <t>Культиватор бензиновый BRAIT BR-30, 2.3 л.с. (минимот)</t>
  </si>
  <si>
    <t xml:space="preserve">Телега прицепная мотоблочная Forza 500 кг </t>
  </si>
  <si>
    <t>Тачка Variant 11110, одноколёсная, пневматическое колесо, 110 л, 180 кг</t>
  </si>
  <si>
    <t>Тачка Variant 11090, одноколёсная, литое колесо, 90 л, 180 кг</t>
  </si>
  <si>
    <t>Тачка Toph, одноколёсная, пневматическое колесо</t>
  </si>
  <si>
    <t>Покрышка с камерой для садовой тачки 4,80/4,00-8</t>
  </si>
  <si>
    <t>Покрышка с камерой для садовой тачки 3,50-8</t>
  </si>
  <si>
    <t>Корыто для садовой тачки Variant</t>
  </si>
  <si>
    <t>Колесо для тележки строительной,полиуретановое, 4,80/4,00-8, с подшипником 20мм, обод металл</t>
  </si>
  <si>
    <t>Камера для колеса садовой тачки 3,25/3,00-8</t>
  </si>
  <si>
    <t>Камера для колеса садовой тачки 3,50-8</t>
  </si>
  <si>
    <t>Камера для колеса садовой тачки 4,00-8</t>
  </si>
  <si>
    <t>Камера для колеса садовой тачки 4,00-10</t>
  </si>
  <si>
    <t>Триммер бензиновый CHAMPION T256-2</t>
  </si>
  <si>
    <t>Двигатель CHAMPION G140VK/1, 4л.с., 140см3, диам.22,2мм шпонка, 8,5кг, вертикальный вал, для газонокосилок</t>
  </si>
  <si>
    <t>Автошампунь GRASS "Active Foam Light" для бесконтактной мойки 1кг</t>
  </si>
  <si>
    <t>Аккумуляторная дрель-шуруповерт Интерскол ДА-18ЭР, , 18В, 2x2,0Ач, 400-1400об/мин, 38Нм, 2скор, заряд 1час, 2,2кг</t>
  </si>
  <si>
    <t>Головка триммерная TUSCAR TH03-13, Standart, гайка M10*1,25L</t>
  </si>
  <si>
    <t>Вентилятор напольный Oasis VF-40PWB, 1800м³/ч, 2,5кг</t>
  </si>
  <si>
    <t>Вентилятор напольный Oasis VF-40PWG, 1800м³/ч, 2,5кг</t>
  </si>
  <si>
    <t>Маркер краска MunHwa PM-05 белый, ширина линии 4мм</t>
  </si>
  <si>
    <t>Колесо для мотоблока 5.00-12, (ТСР-900/1000/1400/1600)</t>
  </si>
  <si>
    <t>Плуг МТЗ (ширина лемеха 250мм, высота 540мм, длина 490мм)</t>
  </si>
  <si>
    <t>Картофелекопалка вибрационная Пахарь ККМ-1 к мотоблоку "МБ"</t>
  </si>
  <si>
    <t>Картофелекопалка Нева 005.05.0700</t>
  </si>
  <si>
    <t>Картофелекопалка Forza (ременная)</t>
  </si>
  <si>
    <t>Картофелекопалка транспортерная Пахарь ККТУ, универсальная</t>
  </si>
  <si>
    <t>Косилка роторная Пахарь КРН-1М</t>
  </si>
  <si>
    <t>Косилка роторная BRAIT MRP800(A), под вал отбора мощности 14 мм</t>
  </si>
  <si>
    <t>Косилка роторная Forza FZ-1MR-D под под вал отбора мощности 18 мм.</t>
  </si>
  <si>
    <t>Косилка роторная навесная фронтальная DON-FILD RM1</t>
  </si>
  <si>
    <t>Косилка роторная навесная фронтальная "Заря"</t>
  </si>
  <si>
    <t>Мотобур бензиновый Хопер 520 (2-Т, 3.3 л. с, 2600 Вт, 52см3, 200 об/мин)</t>
  </si>
  <si>
    <t>Удлинитель шнека мотобура 0,8 м. под вал 20 мм.</t>
  </si>
  <si>
    <t>Удлинитель шнека мотобура 1 м. под вал 20 мм.</t>
  </si>
  <si>
    <t>Шнек для мотобура 100 мм.</t>
  </si>
  <si>
    <t>Шнек для мотобура 150 мм.</t>
  </si>
  <si>
    <t>Шнек для мотобура 200 мм.</t>
  </si>
  <si>
    <t>Шнек для мотобура 300 мм.</t>
  </si>
  <si>
    <t>Маска защитная мотокоса</t>
  </si>
  <si>
    <t>Присадка к топливу Брайт 2-Т АPI ТС полусинтетич. С ДОЗАТОРОМ 946мл</t>
  </si>
  <si>
    <t>Присадка к топливу Хоум Гардэн 4-х такт. 4Stroke Oll HD SAE-30 (1л) (Home Garden)</t>
  </si>
  <si>
    <t>Присадка к топливу Макскат 2-х такт. Universal (1л) (MAXCUT)</t>
  </si>
  <si>
    <t>Присадка к топливу Патриот 2-х такт. G-Motion GARDEN минеральн. (1л)</t>
  </si>
  <si>
    <t>Очиститель карбюратора Автомастер 225 мл 320см3</t>
  </si>
  <si>
    <t>Колесо бескамерное 3,25/8 16 мм</t>
  </si>
  <si>
    <t>Колесо бескамерное 3,25/8 20 мм</t>
  </si>
  <si>
    <t>Колесо бескамерное 4,00/8 16 мм</t>
  </si>
  <si>
    <t xml:space="preserve">Колесо пневмо 3,25/8 12 мм </t>
  </si>
  <si>
    <t>Колесо пневмо 3,25/8 16 мм</t>
  </si>
  <si>
    <t>Колесо пневмо 4,00/8 12мм</t>
  </si>
  <si>
    <t>Колесо пневмо 4,00/8 16мм</t>
  </si>
  <si>
    <t>Масло моторное минеральное для двухтактных двигателей 0,5л MegArsenal</t>
  </si>
  <si>
    <t>Масло моторное минеральное для двухтактных двигателей 1л MegArsena</t>
  </si>
  <si>
    <t>МШУ-1,8-03 Машина шлифовальная угловая "ДИОЛД"</t>
  </si>
  <si>
    <t>Триммер бензиновый PATRIOT PT 553</t>
  </si>
  <si>
    <t>Триммер бензиновый PATRIOT PT 443, 2.5 л.с., 44 см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</si>
</sst>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₽&quot;"/>
    <numFmt numFmtId="165" formatCode="yyyy\-mm\-dd;@"/>
  </numFmts>
  <fonts count="4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8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Protection="1">
      <protection locked="0"/>
    </xf>
    <xf numFmtId="0" fontId="0" fillId="0" borderId="5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 applyProtection="1">
      <alignment vertical="top" shrinkToFit="1"/>
      <protection locked="0"/>
    </xf>
    <xf numFmtId="164" fontId="0" fillId="0" borderId="1" xfId="0" applyNumberFormat="1" applyBorder="1" applyAlignment="1" applyProtection="1">
      <alignment vertical="top" shrinkToFit="1"/>
      <protection locked="0"/>
    </xf>
    <xf numFmtId="0" fontId="0" fillId="0" borderId="1" xfId="0" applyBorder="1" applyAlignment="1" applyProtection="1">
      <alignment vertical="top"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 applyProtection="1">
      <alignment vertical="top" wrapText="1"/>
      <protection locked="0"/>
    </xf>
    <xf numFmtId="0" fontId="0" fillId="0" borderId="0" xfId="0" applyAlignment="1" applyProtection="1">
      <alignment vertical="top" shrinkToFit="1"/>
      <protection locked="0"/>
    </xf>
    <xf numFmtId="164" fontId="0" fillId="0" borderId="0" xfId="0" applyNumberFormat="1" applyAlignment="1" applyProtection="1">
      <alignment vertical="top" shrinkToFit="1"/>
      <protection locked="0"/>
    </xf>
    <xf numFmtId="9" fontId="0" fillId="0" borderId="0" xfId="0" applyNumberFormat="1" applyAlignment="1" applyProtection="1">
      <alignment vertical="top" shrinkToFit="1"/>
      <protection locked="0"/>
    </xf>
    <xf numFmtId="0" fontId="1" fillId="2" borderId="2" xfId="0" applyFont="1" applyFill="1" applyBorder="1" applyAlignment="1" applyProtection="1">
      <alignment horizontal="center" vertical="top"/>
    </xf>
    <xf numFmtId="0" fontId="1" fillId="2" borderId="3" xfId="0" applyFont="1" applyFill="1" applyBorder="1" applyAlignment="1" applyProtection="1">
      <alignment vertical="top" wrapText="1"/>
    </xf>
    <xf numFmtId="1" fontId="1" fillId="2" borderId="3" xfId="0" applyNumberFormat="1" applyFont="1" applyFill="1" applyBorder="1" applyAlignment="1" applyProtection="1">
      <alignment vertical="top" shrinkToFit="1"/>
    </xf>
    <xf numFmtId="0" fontId="1" fillId="2" borderId="3" xfId="0" applyFont="1" applyFill="1" applyBorder="1" applyAlignment="1" applyProtection="1">
      <alignment vertical="top" shrinkToFit="1"/>
    </xf>
    <xf numFmtId="164" fontId="1" fillId="2" borderId="3" xfId="0" applyNumberFormat="1" applyFont="1" applyFill="1" applyBorder="1" applyAlignment="1" applyProtection="1">
      <alignment vertical="top" shrinkToFit="1"/>
    </xf>
    <xf numFmtId="164" fontId="1" fillId="2" borderId="4" xfId="0" applyNumberFormat="1" applyFont="1" applyFill="1" applyBorder="1" applyAlignment="1" applyProtection="1">
      <alignment vertical="top" shrinkToFit="1"/>
    </xf>
    <xf numFmtId="9" fontId="1" fillId="2" borderId="4" xfId="0" applyNumberFormat="1" applyFont="1" applyFill="1" applyBorder="1" applyAlignment="1" applyProtection="1">
      <alignment vertical="top" shrinkToFit="1"/>
    </xf>
    <xf numFmtId="0" fontId="0" fillId="2" borderId="7" xfId="0" applyFill="1" applyBorder="1" applyAlignment="1" applyProtection="1">
      <alignment horizontal="center" vertical="top"/>
    </xf>
    <xf numFmtId="0" fontId="0" fillId="2" borderId="8" xfId="0" applyFill="1" applyBorder="1" applyAlignment="1" applyProtection="1">
      <alignment vertical="top" wrapText="1"/>
    </xf>
    <xf numFmtId="0" fontId="0" fillId="2" borderId="8" xfId="0" applyFill="1" applyBorder="1" applyAlignment="1" applyProtection="1">
      <alignment vertical="top" shrinkToFit="1"/>
    </xf>
    <xf numFmtId="164" fontId="0" fillId="2" borderId="8" xfId="0" applyNumberFormat="1" applyFill="1" applyBorder="1" applyAlignment="1" applyProtection="1">
      <alignment vertical="top" shrinkToFit="1"/>
    </xf>
    <xf numFmtId="9" fontId="0" fillId="2" borderId="9" xfId="0" applyNumberFormat="1" applyFill="1" applyBorder="1" applyAlignment="1" applyProtection="1">
      <alignment vertical="top" shrinkToFit="1"/>
    </xf>
    <xf numFmtId="164" fontId="0" fillId="2" borderId="1" xfId="0" applyNumberFormat="1" applyFill="1" applyBorder="1" applyAlignment="1" applyProtection="1">
      <alignment vertical="top" shrinkToFit="1"/>
    </xf>
    <xf numFmtId="164" fontId="0" fillId="2" borderId="6" xfId="0" applyNumberFormat="1" applyFill="1" applyBorder="1" applyAlignment="1" applyProtection="1">
      <alignment vertical="top" shrinkToFit="1"/>
    </xf>
    <xf numFmtId="10" fontId="0" fillId="2" borderId="6" xfId="0" applyNumberFormat="1" applyFill="1" applyBorder="1" applyAlignment="1" applyProtection="1">
      <alignment vertical="top" shrinkToFit="1"/>
    </xf>
    <xf numFmtId="0" fontId="2" fillId="0" borderId="1" xfId="0" applyFont="1" applyBorder="1" applyAlignment="1" applyProtection="1">
      <alignment vertical="top" wrapText="1"/>
      <protection locked="0"/>
    </xf>
    <xf numFmtId="165" fontId="0" fillId="2" borderId="6" xfId="0" applyNumberFormat="1" applyFill="1" applyBorder="1" applyAlignment="1" applyProtection="1">
      <alignment vertical="top" shrinkToFit="1"/>
    </xf>
    <xf numFmtId="0" fontId="0" fillId="0" borderId="0" xfId="0" applyBorder="1" applyAlignment="1" applyProtection="1">
      <alignment vertical="top" wrapText="1"/>
      <protection locked="0"/>
    </xf>
    <xf numFmtId="10" fontId="1" fillId="2" borderId="4" xfId="0" applyNumberFormat="1" applyFont="1" applyFill="1" applyBorder="1" applyAlignment="1" applyProtection="1">
      <alignment vertical="top" shrinkToFit="1"/>
    </xf>
    <xf numFmtId="10" fontId="0" fillId="2" borderId="8" xfId="0" applyNumberFormat="1" applyFill="1" applyBorder="1" applyAlignment="1" applyProtection="1">
      <alignment vertical="top" shrinkToFit="1"/>
    </xf>
    <xf numFmtId="10" fontId="0" fillId="0" borderId="0" xfId="0" applyNumberFormat="1" applyAlignment="1" applyProtection="1">
      <alignment vertical="top" shrinkToFit="1"/>
      <protection locked="0"/>
    </xf>
  </cellXfs>
  <cellStyles count="1">
    <cellStyle name="Обычный" xfId="0" builtinId="0"/>
  </cellStyles>
  <dxfs count="28">
    <dxf>
      <numFmt numFmtId="13" formatCode="0%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 outline="0">
        <left style="thin">
          <color auto="1"/>
        </left>
        <right/>
        <top style="thin">
          <color auto="1"/>
        </top>
        <bottom/>
      </border>
      <protection locked="1" hidden="0"/>
    </dxf>
    <dxf>
      <numFmt numFmtId="14" formatCode="0.00%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numFmt numFmtId="164" formatCode="#,##0.00\ &quot;₽&quot;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numFmt numFmtId="164" formatCode="#,##0.00\ &quot;₽&quot;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numFmt numFmtId="164" formatCode="#,##0.00\ &quot;₽&quot;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numFmt numFmtId="164" formatCode="#,##0.00\ &quot;₽&quot;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numFmt numFmtId="164" formatCode="#,##0.00\ &quot;₽&quot;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ill>
        <patternFill patternType="solid">
          <fgColor indexed="64"/>
          <bgColor rgb="FFFFFF00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ill>
        <patternFill patternType="solid">
          <fgColor indexed="64"/>
          <bgColor rgb="FFFFFF00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ill>
        <patternFill patternType="solid">
          <fgColor indexed="64"/>
          <bgColor rgb="FFFFFF0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  <protection locked="1" hidden="0"/>
    </dxf>
    <dxf>
      <numFmt numFmtId="14" formatCode="0.00%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numFmt numFmtId="14" formatCode="0.00%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5" formatCode="yyyy\-mm\-dd;@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#,##0.00\ &quot;₽&quot;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#,##0.00\ &quot;₽&quot;"/>
      <alignment horizontal="general" vertical="top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#,##0.00\ &quot;₽&quot;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#,##0.00\ &quot;₽&quot;"/>
      <alignment horizontal="general" vertical="top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general" vertical="top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alignment horizontal="general" vertical="top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general" vertical="top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alignment horizontal="center" vertical="top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border>
        <top style="thin">
          <color auto="1"/>
        </top>
      </border>
    </dxf>
    <dxf>
      <fill>
        <patternFill patternType="none">
          <fgColor indexed="64"/>
          <bgColor rgb="FFFFFF00"/>
        </patternFill>
      </fill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protection locked="0" hidden="0"/>
    </dxf>
    <dxf>
      <border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167D0B-B92E-46AE-86A5-6455E104A653}" name="Таблица1" displayName="Таблица1" ref="A1:K291" totalsRowCount="1" headerRowDxfId="27" dataDxfId="25" totalsRowDxfId="23" headerRowBorderDxfId="26" tableBorderDxfId="24" totalsRowBorderDxfId="22">
  <sortState xmlns:xlrd2="http://schemas.microsoft.com/office/spreadsheetml/2017/richdata2" ref="A2:K253">
    <sortCondition ref="C2:C253"/>
  </sortState>
  <tableColumns count="11">
    <tableColumn id="1" xr3:uid="{AF5B1776-5C57-40E0-8CA2-6D557FB2D274}" name="№ п/п" totalsRowLabel="Итог" dataDxfId="21" totalsRowDxfId="10"/>
    <tableColumn id="2" xr3:uid="{A962544C-2E2A-4C30-B8AF-24E82B6A96FA}" name="Наименование" dataDxfId="20" totalsRowDxfId="9"/>
    <tableColumn id="7" xr3:uid="{A135D0E5-EF0C-4DF5-A970-55795E1BD4CD}" name="Категория" dataDxfId="19" totalsRowDxfId="8"/>
    <tableColumn id="3" xr3:uid="{355DA722-EB91-423A-91A9-A25CE9DBCEFE}" name="На остатке (шт.)" totalsRowFunction="sum" dataDxfId="18" totalsRowDxfId="7"/>
    <tableColumn id="4" xr3:uid="{5A376126-8510-43A7-854B-E123542A295F}" name="Цена поступления (руб. за шт.)" dataDxfId="17" totalsRowDxfId="6"/>
    <tableColumn id="8" xr3:uid="{2F7C2E31-B554-45A4-9F16-46419974D466}" name="Сумма поступления (руб.)" dataDxfId="16" totalsRowDxfId="5">
      <calculatedColumnFormula>Таблица1[[#This Row],[Цена поступления (руб. за шт.)]]*Таблица1[[#This Row],[На остатке (шт.)]]</calculatedColumnFormula>
    </tableColumn>
    <tableColumn id="5" xr3:uid="{3A20A20C-343A-4C0C-9844-0CE7C1C79672}" name="Цена реализации (руб. за шт.)" dataDxfId="15" totalsRowDxfId="4"/>
    <tableColumn id="9" xr3:uid="{8BB2754F-6376-4F88-91E7-C65C6444A4A2}" name="Сумма реализации (руб.)" totalsRowFunction="sum" dataDxfId="14" totalsRowDxfId="3">
      <calculatedColumnFormula>Таблица1[[#This Row],[Цена реализации (руб. за шт.)]]*Таблица1[[#This Row],[На остатке (шт.)]]</calculatedColumnFormula>
    </tableColumn>
    <tableColumn id="10" xr3:uid="{2CDA5E36-80EE-401B-BDFD-6BFDD3885CBF}" name="Дата" dataDxfId="13" totalsRowDxfId="2"/>
    <tableColumn id="11" xr3:uid="{1B1BF78F-0508-49F4-AEEE-A93B44230F07}" name="% от вырученных" dataDxfId="12" totalsRowDxfId="1">
      <calculatedColumnFormula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calculatedColumnFormula>
    </tableColumn>
    <tableColumn id="6" xr3:uid="{D8AD2870-B63E-4983-BC63-C2D59F433BDF}" name="% от вложенных" totalsRowFunction="custom" dataDxfId="11" totalsRowDxfId="0">
      <calculatedColumnFormula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calculatedColumnFormula>
      <totalsRowFormula>IF(Таблица1[[#Totals],[Сумма поступления (руб.)]]=0,"",(Таблица1[[#Totals],[Сумма реализации (руб.)]]-Таблица1[[#Totals],[Сумма поступления (руб.)]])/Таблица1[[#Totals],[Сумма поступления (руб.)]])</totalsRow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31263C-DFBD-41B3-A793-CED25907BA19}" name="Таблица3" displayName="Таблица3" ref="A1:A22" totalsRowShown="0">
  <autoFilter ref="A1:A22" xr:uid="{C531263C-DFBD-41B3-A793-CED25907BA19}"/>
  <tableColumns count="1">
    <tableColumn id="1" xr3:uid="{BF22700D-32D7-4480-AB2B-49F41BEF61CA}" name="Техни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C1A26-595E-4B68-AC8C-F9A72C788E93}">
  <sheetPr codeName="Лист1">
    <pageSetUpPr fitToPage="1"/>
  </sheetPr>
  <dimension ref="A1:K291"/>
  <sheetViews>
    <sheetView tabSelected="1" topLeftCell="A116" zoomScaleNormal="100" workbookViewId="0">
      <selection activeCell="D124" sqref="D124"/>
    </sheetView>
  </sheetViews>
  <sheetFormatPr defaultRowHeight="15" x14ac:dyDescent="0.25"/>
  <cols>
    <col min="1" max="1" width="9.42578125" style="6" customWidth="1"/>
    <col min="2" max="2" width="34.5703125" style="7" customWidth="1"/>
    <col min="3" max="3" width="17.42578125" style="7" customWidth="1"/>
    <col min="4" max="4" width="11.85546875" style="8" customWidth="1"/>
    <col min="5" max="5" width="17.140625" style="8" customWidth="1"/>
    <col min="6" max="6" width="18" style="9" customWidth="1"/>
    <col min="7" max="7" width="15.5703125" style="8" customWidth="1"/>
    <col min="8" max="8" width="17.42578125" style="9" customWidth="1"/>
    <col min="9" max="9" width="10.42578125" style="9" bestFit="1" customWidth="1"/>
    <col min="10" max="10" width="11.28515625" style="31" customWidth="1"/>
    <col min="11" max="11" width="9" style="10" customWidth="1"/>
    <col min="12" max="16384" width="9.140625" style="1"/>
  </cols>
  <sheetData>
    <row r="1" spans="1:11" x14ac:dyDescent="0.25">
      <c r="A1" s="11" t="s">
        <v>0</v>
      </c>
      <c r="B1" s="12" t="s">
        <v>1</v>
      </c>
      <c r="C1" s="12" t="s">
        <v>84</v>
      </c>
      <c r="D1" s="13" t="s">
        <v>31</v>
      </c>
      <c r="E1" s="14" t="s">
        <v>13</v>
      </c>
      <c r="F1" s="15" t="s">
        <v>15</v>
      </c>
      <c r="G1" s="15" t="s">
        <v>14</v>
      </c>
      <c r="H1" s="16" t="s">
        <v>16</v>
      </c>
      <c r="I1" s="16" t="s">
        <v>93</v>
      </c>
      <c r="J1" s="29" t="s">
        <v>227</v>
      </c>
      <c r="K1" s="17" t="s">
        <v>226</v>
      </c>
    </row>
    <row r="2" spans="1:11" ht="45" x14ac:dyDescent="0.25">
      <c r="A2" s="2">
        <f t="shared" ref="A2:A68" si="0">ROW()-1</f>
        <v>1</v>
      </c>
      <c r="B2" s="28" t="s">
        <v>131</v>
      </c>
      <c r="C2" s="26"/>
      <c r="D2" s="3">
        <v>1</v>
      </c>
      <c r="E2" s="4"/>
      <c r="F2" s="23">
        <f>Таблица1[[#This Row],[Цена поступления (руб. за шт.)]]*Таблица1[[#This Row],[На остатке (шт.)]]</f>
        <v>0</v>
      </c>
      <c r="G2" s="4">
        <v>14900</v>
      </c>
      <c r="H2" s="24">
        <f>Таблица1[[#This Row],[Цена реализации (руб. за шт.)]]*Таблица1[[#This Row],[На остатке (шт.)]]</f>
        <v>14900</v>
      </c>
      <c r="I2" s="27">
        <v>45044.50273148148</v>
      </c>
      <c r="J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3" spans="1:11" ht="17.25" customHeight="1" x14ac:dyDescent="0.25">
      <c r="A3" s="2">
        <f t="shared" si="0"/>
        <v>2</v>
      </c>
      <c r="B3" s="5" t="s">
        <v>132</v>
      </c>
      <c r="C3" s="26"/>
      <c r="D3" s="3">
        <v>1</v>
      </c>
      <c r="E3" s="4"/>
      <c r="F3" s="23">
        <f>Таблица1[[#This Row],[Цена поступления (руб. за шт.)]]*Таблица1[[#This Row],[На остатке (шт.)]]</f>
        <v>0</v>
      </c>
      <c r="G3" s="4">
        <v>20900</v>
      </c>
      <c r="H3" s="24">
        <f>Таблица1[[#This Row],[Цена реализации (руб. за шт.)]]*Таблица1[[#This Row],[На остатке (шт.)]]</f>
        <v>20900</v>
      </c>
      <c r="I3" s="27">
        <v>45044.503981481481</v>
      </c>
      <c r="J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4" spans="1:11" ht="17.25" customHeight="1" x14ac:dyDescent="0.25">
      <c r="A4" s="2">
        <f t="shared" si="0"/>
        <v>3</v>
      </c>
      <c r="B4" s="5" t="s">
        <v>133</v>
      </c>
      <c r="C4" s="26"/>
      <c r="D4" s="3">
        <v>1</v>
      </c>
      <c r="E4" s="4">
        <v>15488</v>
      </c>
      <c r="F4" s="23">
        <f>Таблица1[[#This Row],[Цена поступления (руб. за шт.)]]*Таблица1[[#This Row],[На остатке (шт.)]]</f>
        <v>15488</v>
      </c>
      <c r="G4" s="4">
        <v>18500</v>
      </c>
      <c r="H4" s="24">
        <f>Таблица1[[#This Row],[Цена реализации (руб. за шт.)]]*Таблица1[[#This Row],[На остатке (шт.)]]</f>
        <v>18500</v>
      </c>
      <c r="I4" s="27">
        <v>45044.562361111108</v>
      </c>
      <c r="J4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0.16281081081081081</v>
      </c>
      <c r="K4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0.19447314049586778</v>
      </c>
    </row>
    <row r="5" spans="1:11" ht="17.25" customHeight="1" x14ac:dyDescent="0.25">
      <c r="A5" s="2">
        <f t="shared" si="0"/>
        <v>4</v>
      </c>
      <c r="B5" s="5" t="s">
        <v>241</v>
      </c>
      <c r="C5" s="26"/>
      <c r="D5" s="3">
        <v>1</v>
      </c>
      <c r="E5" s="4">
        <v>15136</v>
      </c>
      <c r="F5" s="23">
        <f>Таблица1[[#This Row],[Цена поступления (руб. за шт.)]]*Таблица1[[#This Row],[На остатке (шт.)]]</f>
        <v>15136</v>
      </c>
      <c r="G5" s="4">
        <v>18500</v>
      </c>
      <c r="H5" s="23">
        <f>Таблица1[[#This Row],[Цена реализации (руб. за шт.)]]*Таблица1[[#This Row],[На остатке (шт.)]]</f>
        <v>18500</v>
      </c>
      <c r="I5" s="27">
        <v>45051.581365740742</v>
      </c>
      <c r="J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0.18183783783783783</v>
      </c>
      <c r="K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0.22225158562367864</v>
      </c>
    </row>
    <row r="6" spans="1:11" ht="30" x14ac:dyDescent="0.25">
      <c r="A6" s="2">
        <f t="shared" si="0"/>
        <v>5</v>
      </c>
      <c r="B6" s="5" t="s">
        <v>42</v>
      </c>
      <c r="C6" s="26"/>
      <c r="D6" s="3">
        <v>1</v>
      </c>
      <c r="E6" s="4"/>
      <c r="F6" s="23">
        <f>Таблица1[[#This Row],[Цена поступления (руб. за шт.)]]*Таблица1[[#This Row],[На остатке (шт.)]]</f>
        <v>0</v>
      </c>
      <c r="G6" s="4">
        <v>6860</v>
      </c>
      <c r="H6" s="24">
        <f>Таблица1[[#This Row],[Цена реализации (руб. за шт.)]]*Таблица1[[#This Row],[На остатке (шт.)]]</f>
        <v>6860</v>
      </c>
      <c r="I6" s="27">
        <v>45043.595150462963</v>
      </c>
      <c r="J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7" spans="1:11" ht="30" x14ac:dyDescent="0.25">
      <c r="A7" s="2">
        <f t="shared" si="0"/>
        <v>6</v>
      </c>
      <c r="B7" s="5" t="s">
        <v>43</v>
      </c>
      <c r="C7" s="26"/>
      <c r="D7" s="3">
        <v>1</v>
      </c>
      <c r="E7" s="4"/>
      <c r="F7" s="23">
        <f>Таблица1[[#This Row],[Цена поступления (руб. за шт.)]]*Таблица1[[#This Row],[На остатке (шт.)]]</f>
        <v>0</v>
      </c>
      <c r="G7" s="4">
        <v>9800</v>
      </c>
      <c r="H7" s="24">
        <f>Таблица1[[#This Row],[Цена реализации (руб. за шт.)]]*Таблица1[[#This Row],[На остатке (шт.)]]</f>
        <v>9800</v>
      </c>
      <c r="I7" s="27">
        <v>45043.59516203704</v>
      </c>
      <c r="J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8" spans="1:11" ht="30" x14ac:dyDescent="0.25">
      <c r="A8" s="2">
        <f t="shared" si="0"/>
        <v>7</v>
      </c>
      <c r="B8" s="5" t="s">
        <v>44</v>
      </c>
      <c r="C8" s="26"/>
      <c r="D8" s="3">
        <v>1</v>
      </c>
      <c r="E8" s="4"/>
      <c r="F8" s="23">
        <f>Таблица1[[#This Row],[Цена поступления (руб. за шт.)]]*Таблица1[[#This Row],[На остатке (шт.)]]</f>
        <v>0</v>
      </c>
      <c r="G8" s="4">
        <v>25700</v>
      </c>
      <c r="H8" s="23">
        <f>Таблица1[[#This Row],[Цена реализации (руб. за шт.)]]*Таблица1[[#This Row],[На остатке (шт.)]]</f>
        <v>25700</v>
      </c>
      <c r="I8" s="27">
        <v>45043.595185185186</v>
      </c>
      <c r="J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9" spans="1:11" ht="30" x14ac:dyDescent="0.25">
      <c r="A9" s="2">
        <f t="shared" si="0"/>
        <v>8</v>
      </c>
      <c r="B9" s="5" t="s">
        <v>45</v>
      </c>
      <c r="C9" s="26"/>
      <c r="D9" s="3">
        <v>1</v>
      </c>
      <c r="E9" s="4"/>
      <c r="F9" s="23">
        <f>Таблица1[[#This Row],[Цена поступления (руб. за шт.)]]*Таблица1[[#This Row],[На остатке (шт.)]]</f>
        <v>0</v>
      </c>
      <c r="G9" s="4">
        <v>27000</v>
      </c>
      <c r="H9" s="24">
        <f>Таблица1[[#This Row],[Цена реализации (руб. за шт.)]]*Таблица1[[#This Row],[На остатке (шт.)]]</f>
        <v>27000</v>
      </c>
      <c r="I9" s="27">
        <v>45043.595196759263</v>
      </c>
      <c r="J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0" spans="1:11" ht="30" x14ac:dyDescent="0.25">
      <c r="A10" s="2">
        <f t="shared" si="0"/>
        <v>9</v>
      </c>
      <c r="B10" s="5" t="s">
        <v>41</v>
      </c>
      <c r="C10" s="26"/>
      <c r="D10" s="3">
        <v>1</v>
      </c>
      <c r="E10" s="4"/>
      <c r="F10" s="23">
        <f>Таблица1[[#This Row],[Цена поступления (руб. за шт.)]]*Таблица1[[#This Row],[На остатке (шт.)]]</f>
        <v>0</v>
      </c>
      <c r="G10" s="4">
        <v>8600</v>
      </c>
      <c r="H10" s="24">
        <f>Таблица1[[#This Row],[Цена реализации (руб. за шт.)]]*Таблица1[[#This Row],[На остатке (шт.)]]</f>
        <v>8600</v>
      </c>
      <c r="I10" s="27">
        <v>45043.658576388887</v>
      </c>
      <c r="J1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1" spans="1:11" x14ac:dyDescent="0.25">
      <c r="A11" s="2">
        <f t="shared" si="0"/>
        <v>10</v>
      </c>
      <c r="B11" s="5" t="s">
        <v>18</v>
      </c>
      <c r="C11" s="26"/>
      <c r="D11" s="3">
        <v>1</v>
      </c>
      <c r="E11" s="4"/>
      <c r="F11" s="23">
        <f>Таблица1[[#This Row],[Цена поступления (руб. за шт.)]]*Таблица1[[#This Row],[На остатке (шт.)]]</f>
        <v>0</v>
      </c>
      <c r="G11" s="4">
        <v>36500</v>
      </c>
      <c r="H11" s="24">
        <f>Таблица1[[#This Row],[Цена реализации (руб. за шт.)]]*Таблица1[[#This Row],[На остатке (шт.)]]</f>
        <v>36500</v>
      </c>
      <c r="I11" s="27">
        <v>45043.59447916667</v>
      </c>
      <c r="J1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2" spans="1:11" x14ac:dyDescent="0.25">
      <c r="A12" s="2">
        <f t="shared" si="0"/>
        <v>11</v>
      </c>
      <c r="B12" s="5" t="s">
        <v>19</v>
      </c>
      <c r="C12" s="26"/>
      <c r="D12" s="3">
        <v>1</v>
      </c>
      <c r="E12" s="4"/>
      <c r="F12" s="23">
        <f>Таблица1[[#This Row],[Цена поступления (руб. за шт.)]]*Таблица1[[#This Row],[На остатке (шт.)]]</f>
        <v>0</v>
      </c>
      <c r="G12" s="4">
        <v>19500</v>
      </c>
      <c r="H12" s="24">
        <f>Таблица1[[#This Row],[Цена реализации (руб. за шт.)]]*Таблица1[[#This Row],[На остатке (шт.)]]</f>
        <v>19500</v>
      </c>
      <c r="I12" s="27">
        <v>45043.594490740739</v>
      </c>
      <c r="J1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3" spans="1:11" ht="30" x14ac:dyDescent="0.25">
      <c r="A13" s="2">
        <f t="shared" si="0"/>
        <v>12</v>
      </c>
      <c r="B13" s="5" t="s">
        <v>20</v>
      </c>
      <c r="C13" s="26"/>
      <c r="D13" s="3">
        <v>1</v>
      </c>
      <c r="E13" s="4"/>
      <c r="F13" s="23">
        <f>Таблица1[[#This Row],[Цена поступления (руб. за шт.)]]*Таблица1[[#This Row],[На остатке (шт.)]]</f>
        <v>0</v>
      </c>
      <c r="G13" s="4">
        <v>59900</v>
      </c>
      <c r="H13" s="24">
        <f>Таблица1[[#This Row],[Цена реализации (руб. за шт.)]]*Таблица1[[#This Row],[На остатке (шт.)]]</f>
        <v>59900</v>
      </c>
      <c r="I13" s="27">
        <v>45043.594525462962</v>
      </c>
      <c r="J1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4" spans="1:11" x14ac:dyDescent="0.25">
      <c r="A14" s="2">
        <f t="shared" si="0"/>
        <v>13</v>
      </c>
      <c r="B14" s="5" t="s">
        <v>17</v>
      </c>
      <c r="C14" s="26"/>
      <c r="D14" s="3">
        <v>1</v>
      </c>
      <c r="E14" s="4"/>
      <c r="F14" s="23">
        <f>Таблица1[[#This Row],[Цена поступления (руб. за шт.)]]*Таблица1[[#This Row],[На остатке (шт.)]]</f>
        <v>0</v>
      </c>
      <c r="G14" s="4">
        <v>44900</v>
      </c>
      <c r="H14" s="24">
        <f>Таблица1[[#This Row],[Цена реализации (руб. за шт.)]]*Таблица1[[#This Row],[На остатке (шт.)]]</f>
        <v>44900</v>
      </c>
      <c r="I14" s="27">
        <v>45045.506712962961</v>
      </c>
      <c r="J1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5" spans="1:11" ht="60" x14ac:dyDescent="0.25">
      <c r="A15" s="2">
        <f t="shared" si="0"/>
        <v>14</v>
      </c>
      <c r="B15" s="5" t="s">
        <v>277</v>
      </c>
      <c r="C15" s="26"/>
      <c r="D15" s="3">
        <v>1</v>
      </c>
      <c r="E15" s="4">
        <v>8850</v>
      </c>
      <c r="F15" s="23">
        <f>Таблица1[[#This Row],[Цена поступления (руб. за шт.)]]*Таблица1[[#This Row],[На остатке (шт.)]]</f>
        <v>8850</v>
      </c>
      <c r="G15" s="4">
        <v>10900</v>
      </c>
      <c r="H15" s="23">
        <f>Таблица1[[#This Row],[Цена реализации (руб. за шт.)]]*Таблица1[[#This Row],[На остатке (шт.)]]</f>
        <v>10900</v>
      </c>
      <c r="I15" s="27">
        <v>45056.571562500001</v>
      </c>
      <c r="J1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0.18807339449541285</v>
      </c>
      <c r="K1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0.23163841807909605</v>
      </c>
    </row>
    <row r="16" spans="1:11" ht="30" x14ac:dyDescent="0.25">
      <c r="A16" s="2">
        <f t="shared" si="0"/>
        <v>15</v>
      </c>
      <c r="B16" s="5" t="s">
        <v>32</v>
      </c>
      <c r="C16" s="26"/>
      <c r="D16" s="3">
        <v>1</v>
      </c>
      <c r="E16" s="4"/>
      <c r="F16" s="23">
        <f>Таблица1[[#This Row],[Цена поступления (руб. за шт.)]]*Таблица1[[#This Row],[На остатке (шт.)]]</f>
        <v>0</v>
      </c>
      <c r="G16" s="4">
        <v>11500</v>
      </c>
      <c r="H16" s="24">
        <f>Таблица1[[#This Row],[Цена реализации (руб. за шт.)]]*Таблица1[[#This Row],[На остатке (шт.)]]</f>
        <v>11500</v>
      </c>
      <c r="I16" s="27">
        <v>45043.594513888886</v>
      </c>
      <c r="J1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7" spans="1:11" ht="30" x14ac:dyDescent="0.25">
      <c r="A17" s="2">
        <f t="shared" si="0"/>
        <v>16</v>
      </c>
      <c r="B17" s="5" t="s">
        <v>34</v>
      </c>
      <c r="C17" s="26"/>
      <c r="D17" s="3">
        <v>1</v>
      </c>
      <c r="E17" s="4"/>
      <c r="F17" s="23">
        <f>Таблица1[[#This Row],[Цена поступления (руб. за шт.)]]*Таблица1[[#This Row],[На остатке (шт.)]]</f>
        <v>0</v>
      </c>
      <c r="G17" s="4">
        <v>10200</v>
      </c>
      <c r="H17" s="24">
        <f>Таблица1[[#This Row],[Цена реализации (руб. за шт.)]]*Таблица1[[#This Row],[На остатке (шт.)]]</f>
        <v>10200</v>
      </c>
      <c r="I17" s="27">
        <v>45043.594548611109</v>
      </c>
      <c r="J1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8" spans="1:11" ht="30" x14ac:dyDescent="0.25">
      <c r="A18" s="2">
        <f t="shared" si="0"/>
        <v>17</v>
      </c>
      <c r="B18" s="5" t="s">
        <v>215</v>
      </c>
      <c r="C18" s="26"/>
      <c r="D18" s="3">
        <v>1</v>
      </c>
      <c r="E18" s="4">
        <v>10400</v>
      </c>
      <c r="F18" s="23">
        <f>Таблица1[[#This Row],[Цена поступления (руб. за шт.)]]*Таблица1[[#This Row],[На остатке (шт.)]]</f>
        <v>10400</v>
      </c>
      <c r="G18" s="4">
        <v>13400</v>
      </c>
      <c r="H18" s="23">
        <f>Таблица1[[#This Row],[Цена реализации (руб. за шт.)]]*Таблица1[[#This Row],[На остатке (шт.)]]</f>
        <v>13400</v>
      </c>
      <c r="I18" s="27">
        <v>45049.693124999998</v>
      </c>
      <c r="J1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0.22388059701492538</v>
      </c>
      <c r="K1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0.28846153846153844</v>
      </c>
    </row>
    <row r="19" spans="1:11" ht="30" x14ac:dyDescent="0.25">
      <c r="A19" s="2">
        <f t="shared" si="0"/>
        <v>18</v>
      </c>
      <c r="B19" s="5" t="s">
        <v>33</v>
      </c>
      <c r="C19" s="26"/>
      <c r="D19" s="3">
        <v>1</v>
      </c>
      <c r="E19" s="4"/>
      <c r="F19" s="23">
        <f>Таблица1[[#This Row],[Цена поступления (руб. за шт.)]]*Таблица1[[#This Row],[На остатке (шт.)]]</f>
        <v>0</v>
      </c>
      <c r="G19" s="4">
        <v>11200</v>
      </c>
      <c r="H19" s="24">
        <f>Таблица1[[#This Row],[Цена реализации (руб. за шт.)]]*Таблица1[[#This Row],[На остатке (шт.)]]</f>
        <v>11200</v>
      </c>
      <c r="I19" s="27">
        <v>45043.594594907408</v>
      </c>
      <c r="J1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0" spans="1:11" ht="30" x14ac:dyDescent="0.25">
      <c r="A20" s="2">
        <f t="shared" si="0"/>
        <v>19</v>
      </c>
      <c r="B20" s="5" t="s">
        <v>36</v>
      </c>
      <c r="C20" s="26"/>
      <c r="D20" s="3">
        <v>1</v>
      </c>
      <c r="E20" s="4"/>
      <c r="F20" s="23">
        <f>Таблица1[[#This Row],[Цена поступления (руб. за шт.)]]*Таблица1[[#This Row],[На остатке (шт.)]]</f>
        <v>0</v>
      </c>
      <c r="G20" s="4">
        <v>10300</v>
      </c>
      <c r="H20" s="24">
        <f>Таблица1[[#This Row],[Цена реализации (руб. за шт.)]]*Таблица1[[#This Row],[На остатке (шт.)]]</f>
        <v>10300</v>
      </c>
      <c r="I20" s="27">
        <v>45043.594629629632</v>
      </c>
      <c r="J2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1" spans="1:11" ht="30" x14ac:dyDescent="0.25">
      <c r="A21" s="2">
        <f t="shared" si="0"/>
        <v>20</v>
      </c>
      <c r="B21" s="5" t="s">
        <v>37</v>
      </c>
      <c r="C21" s="26"/>
      <c r="D21" s="3">
        <v>1</v>
      </c>
      <c r="E21" s="4"/>
      <c r="F21" s="23">
        <f>Таблица1[[#This Row],[Цена поступления (руб. за шт.)]]*Таблица1[[#This Row],[На остатке (шт.)]]</f>
        <v>0</v>
      </c>
      <c r="G21" s="4">
        <v>19700</v>
      </c>
      <c r="H21" s="24">
        <f>Таблица1[[#This Row],[Цена реализации (руб. за шт.)]]*Таблица1[[#This Row],[На остатке (шт.)]]</f>
        <v>19700</v>
      </c>
      <c r="I21" s="27">
        <v>45043.594641203701</v>
      </c>
      <c r="J2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2" spans="1:11" x14ac:dyDescent="0.25">
      <c r="A22" s="2">
        <f t="shared" si="0"/>
        <v>21</v>
      </c>
      <c r="B22" s="5" t="s">
        <v>38</v>
      </c>
      <c r="C22" s="26"/>
      <c r="D22" s="3">
        <v>1</v>
      </c>
      <c r="E22" s="4"/>
      <c r="F22" s="23">
        <f>Таблица1[[#This Row],[Цена поступления (руб. за шт.)]]*Таблица1[[#This Row],[На остатке (шт.)]]</f>
        <v>0</v>
      </c>
      <c r="G22" s="4">
        <v>19100</v>
      </c>
      <c r="H22" s="24">
        <f>Таблица1[[#This Row],[Цена реализации (руб. за шт.)]]*Таблица1[[#This Row],[На остатке (шт.)]]</f>
        <v>19100</v>
      </c>
      <c r="I22" s="27">
        <v>45043.594756944447</v>
      </c>
      <c r="J2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3" spans="1:11" x14ac:dyDescent="0.25">
      <c r="A23" s="2">
        <f t="shared" si="0"/>
        <v>22</v>
      </c>
      <c r="B23" s="5" t="s">
        <v>39</v>
      </c>
      <c r="C23" s="26"/>
      <c r="D23" s="3">
        <v>1</v>
      </c>
      <c r="E23" s="4"/>
      <c r="F23" s="23">
        <f>Таблица1[[#This Row],[Цена поступления (руб. за шт.)]]*Таблица1[[#This Row],[На остатке (шт.)]]</f>
        <v>0</v>
      </c>
      <c r="G23" s="4">
        <v>18700</v>
      </c>
      <c r="H23" s="24">
        <f>Таблица1[[#This Row],[Цена реализации (руб. за шт.)]]*Таблица1[[#This Row],[На остатке (шт.)]]</f>
        <v>18700</v>
      </c>
      <c r="I23" s="27">
        <v>45043.594965277778</v>
      </c>
      <c r="J2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4" spans="1:11" ht="30" x14ac:dyDescent="0.25">
      <c r="A24" s="2">
        <f t="shared" si="0"/>
        <v>23</v>
      </c>
      <c r="B24" s="5" t="s">
        <v>40</v>
      </c>
      <c r="C24" s="26"/>
      <c r="D24" s="3">
        <v>1</v>
      </c>
      <c r="E24" s="4"/>
      <c r="F24" s="23">
        <f>Таблица1[[#This Row],[Цена поступления (руб. за шт.)]]*Таблица1[[#This Row],[На остатке (шт.)]]</f>
        <v>0</v>
      </c>
      <c r="G24" s="4">
        <v>10800</v>
      </c>
      <c r="H24" s="23">
        <f>Таблица1[[#This Row],[Цена реализации (руб. за шт.)]]*Таблица1[[#This Row],[На остатке (шт.)]]</f>
        <v>10800</v>
      </c>
      <c r="I24" s="27">
        <v>45043.595138888886</v>
      </c>
      <c r="J2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5" spans="1:11" x14ac:dyDescent="0.25">
      <c r="A25" s="2">
        <f t="shared" si="0"/>
        <v>24</v>
      </c>
      <c r="B25" s="5" t="s">
        <v>35</v>
      </c>
      <c r="C25" s="26"/>
      <c r="D25" s="3">
        <v>1</v>
      </c>
      <c r="E25" s="4"/>
      <c r="F25" s="23">
        <f>Таблица1[[#This Row],[Цена поступления (руб. за шт.)]]*Таблица1[[#This Row],[На остатке (шт.)]]</f>
        <v>0</v>
      </c>
      <c r="G25" s="4">
        <v>9000</v>
      </c>
      <c r="H25" s="23">
        <f>Таблица1[[#This Row],[Цена реализации (руб. за шт.)]]*Таблица1[[#This Row],[На остатке (шт.)]]</f>
        <v>9000</v>
      </c>
      <c r="I25" s="27">
        <v>45045.506724537037</v>
      </c>
      <c r="J2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6" spans="1:11" ht="30" x14ac:dyDescent="0.25">
      <c r="A26" s="2">
        <f t="shared" si="0"/>
        <v>25</v>
      </c>
      <c r="B26" s="5" t="s">
        <v>113</v>
      </c>
      <c r="C26" s="26"/>
      <c r="D26" s="3">
        <v>1</v>
      </c>
      <c r="E26" s="4"/>
      <c r="F26" s="23">
        <f>Таблица1[[#This Row],[Цена поступления (руб. за шт.)]]*Таблица1[[#This Row],[На остатке (шт.)]]</f>
        <v>0</v>
      </c>
      <c r="G26" s="4">
        <v>8150</v>
      </c>
      <c r="H26" s="23">
        <f>Таблица1[[#This Row],[Цена реализации (руб. за шт.)]]*Таблица1[[#This Row],[На остатке (шт.)]]</f>
        <v>8150</v>
      </c>
      <c r="I26" s="27">
        <v>45043.69394675926</v>
      </c>
      <c r="J2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7" spans="1:11" ht="30" x14ac:dyDescent="0.25">
      <c r="A27" s="2">
        <f t="shared" si="0"/>
        <v>26</v>
      </c>
      <c r="B27" s="5" t="s">
        <v>114</v>
      </c>
      <c r="C27" s="26"/>
      <c r="D27" s="3">
        <v>1</v>
      </c>
      <c r="E27" s="4"/>
      <c r="F27" s="23">
        <f>Таблица1[[#This Row],[Цена поступления (руб. за шт.)]]*Таблица1[[#This Row],[На остатке (шт.)]]</f>
        <v>0</v>
      </c>
      <c r="G27" s="4">
        <v>5590</v>
      </c>
      <c r="H27" s="23">
        <f>Таблица1[[#This Row],[Цена реализации (руб. за шт.)]]*Таблица1[[#This Row],[На остатке (шт.)]]</f>
        <v>5590</v>
      </c>
      <c r="I27" s="27">
        <v>45043.700891203705</v>
      </c>
      <c r="J2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8" spans="1:11" ht="30" x14ac:dyDescent="0.25">
      <c r="A28" s="2">
        <f t="shared" si="0"/>
        <v>27</v>
      </c>
      <c r="B28" s="5" t="s">
        <v>116</v>
      </c>
      <c r="C28" s="26"/>
      <c r="D28" s="3">
        <v>1</v>
      </c>
      <c r="E28" s="4"/>
      <c r="F28" s="23">
        <f>Таблица1[[#This Row],[Цена поступления (руб. за шт.)]]*Таблица1[[#This Row],[На остатке (шт.)]]</f>
        <v>0</v>
      </c>
      <c r="G28" s="4">
        <v>3479</v>
      </c>
      <c r="H28" s="23">
        <f>Таблица1[[#This Row],[Цена реализации (руб. за шт.)]]*Таблица1[[#This Row],[На остатке (шт.)]]</f>
        <v>3479</v>
      </c>
      <c r="I28" s="27">
        <v>45043.709710648145</v>
      </c>
      <c r="J2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9" spans="1:11" ht="30" x14ac:dyDescent="0.25">
      <c r="A29" s="2">
        <f t="shared" si="0"/>
        <v>28</v>
      </c>
      <c r="B29" s="5" t="s">
        <v>137</v>
      </c>
      <c r="C29" s="26"/>
      <c r="D29" s="3">
        <v>1</v>
      </c>
      <c r="E29" s="4"/>
      <c r="F29" s="23">
        <f>Таблица1[[#This Row],[Цена поступления (руб. за шт.)]]*Таблица1[[#This Row],[На остатке (шт.)]]</f>
        <v>0</v>
      </c>
      <c r="G29" s="4">
        <v>4100</v>
      </c>
      <c r="H29" s="23">
        <f>Таблица1[[#This Row],[Цена реализации (руб. за шт.)]]*Таблица1[[#This Row],[На остатке (шт.)]]</f>
        <v>4100</v>
      </c>
      <c r="I29" s="27">
        <v>45044.647569444445</v>
      </c>
      <c r="J2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30" spans="1:11" ht="30" x14ac:dyDescent="0.25">
      <c r="A30" s="2">
        <f t="shared" si="0"/>
        <v>29</v>
      </c>
      <c r="B30" s="5" t="s">
        <v>138</v>
      </c>
      <c r="C30" s="26"/>
      <c r="D30" s="3">
        <v>1</v>
      </c>
      <c r="E30" s="4"/>
      <c r="F30" s="23">
        <f>Таблица1[[#This Row],[Цена поступления (руб. за шт.)]]*Таблица1[[#This Row],[На остатке (шт.)]]</f>
        <v>0</v>
      </c>
      <c r="G30" s="4">
        <v>7200</v>
      </c>
      <c r="H30" s="23">
        <f>Таблица1[[#This Row],[Цена реализации (руб. за шт.)]]*Таблица1[[#This Row],[На остатке (шт.)]]</f>
        <v>7200</v>
      </c>
      <c r="I30" s="27">
        <v>45044.648796296293</v>
      </c>
      <c r="J3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3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31" spans="1:11" ht="30" x14ac:dyDescent="0.25">
      <c r="A31" s="2">
        <f t="shared" si="0"/>
        <v>30</v>
      </c>
      <c r="B31" s="5" t="s">
        <v>140</v>
      </c>
      <c r="C31" s="26"/>
      <c r="D31" s="3">
        <v>1</v>
      </c>
      <c r="E31" s="4"/>
      <c r="F31" s="23">
        <f>Таблица1[[#This Row],[Цена поступления (руб. за шт.)]]*Таблица1[[#This Row],[На остатке (шт.)]]</f>
        <v>0</v>
      </c>
      <c r="G31" s="4">
        <v>6400</v>
      </c>
      <c r="H31" s="23">
        <f>Таблица1[[#This Row],[Цена реализации (руб. за шт.)]]*Таблица1[[#This Row],[На остатке (шт.)]]</f>
        <v>6400</v>
      </c>
      <c r="I31" s="27">
        <v>45044.652951388889</v>
      </c>
      <c r="J3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3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32" spans="1:11" ht="30" x14ac:dyDescent="0.25">
      <c r="A32" s="2">
        <f t="shared" si="0"/>
        <v>31</v>
      </c>
      <c r="B32" s="5" t="s">
        <v>145</v>
      </c>
      <c r="C32" s="26"/>
      <c r="D32" s="3">
        <v>1</v>
      </c>
      <c r="E32" s="4">
        <v>1808</v>
      </c>
      <c r="F32" s="23">
        <f>Таблица1[[#This Row],[Цена поступления (руб. за шт.)]]*Таблица1[[#This Row],[На остатке (шт.)]]</f>
        <v>1808</v>
      </c>
      <c r="G32" s="4">
        <v>3090</v>
      </c>
      <c r="H32" s="23">
        <f>Таблица1[[#This Row],[Цена реализации (руб. за шт.)]]*Таблица1[[#This Row],[На остатке (шт.)]]</f>
        <v>3090</v>
      </c>
      <c r="I32" s="27">
        <v>45051.605300925927</v>
      </c>
      <c r="J3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0.41488673139158577</v>
      </c>
      <c r="K3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0.70907079646017701</v>
      </c>
    </row>
    <row r="33" spans="1:11" ht="30" x14ac:dyDescent="0.25">
      <c r="A33" s="2">
        <f t="shared" si="0"/>
        <v>32</v>
      </c>
      <c r="B33" s="5" t="s">
        <v>153</v>
      </c>
      <c r="C33" s="26"/>
      <c r="D33" s="3">
        <v>1</v>
      </c>
      <c r="E33" s="4"/>
      <c r="F33" s="23">
        <f>Таблица1[[#This Row],[Цена поступления (руб. за шт.)]]*Таблица1[[#This Row],[На остатке (шт.)]]</f>
        <v>0</v>
      </c>
      <c r="G33" s="4">
        <v>4340</v>
      </c>
      <c r="H33" s="23">
        <f>Таблица1[[#This Row],[Цена реализации (руб. за шт.)]]*Таблица1[[#This Row],[На остатке (шт.)]]</f>
        <v>4340</v>
      </c>
      <c r="I33" s="27">
        <v>45044.70207175926</v>
      </c>
      <c r="J3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3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34" spans="1:11" ht="30" x14ac:dyDescent="0.25">
      <c r="A34" s="2">
        <f t="shared" si="0"/>
        <v>33</v>
      </c>
      <c r="B34" s="5" t="s">
        <v>154</v>
      </c>
      <c r="C34" s="26"/>
      <c r="D34" s="3">
        <v>0</v>
      </c>
      <c r="E34" s="4"/>
      <c r="F34" s="23">
        <f>Таблица1[[#This Row],[Цена поступления (руб. за шт.)]]*Таблица1[[#This Row],[На остатке (шт.)]]</f>
        <v>0</v>
      </c>
      <c r="G34" s="4">
        <v>3900</v>
      </c>
      <c r="H34" s="23">
        <f>Таблица1[[#This Row],[Цена реализации (руб. за шт.)]]*Таблица1[[#This Row],[На остатке (шт.)]]</f>
        <v>0</v>
      </c>
      <c r="I34" s="27">
        <v>45059.700185185182</v>
      </c>
      <c r="J3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3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35" spans="1:11" x14ac:dyDescent="0.25">
      <c r="A35" s="2">
        <f t="shared" si="0"/>
        <v>34</v>
      </c>
      <c r="B35" s="5" t="s">
        <v>245</v>
      </c>
      <c r="C35" s="26"/>
      <c r="D35" s="3">
        <v>1</v>
      </c>
      <c r="E35" s="4">
        <v>1469</v>
      </c>
      <c r="F35" s="23">
        <f>Таблица1[[#This Row],[Цена поступления (руб. за шт.)]]*Таблица1[[#This Row],[На остатке (шт.)]]</f>
        <v>1469</v>
      </c>
      <c r="G35" s="4">
        <v>2500</v>
      </c>
      <c r="H35" s="23">
        <f>Таблица1[[#This Row],[Цена реализации (руб. за шт.)]]*Таблица1[[#This Row],[На остатке (шт.)]]</f>
        <v>2500</v>
      </c>
      <c r="I35" s="27">
        <v>45051.59547453704</v>
      </c>
      <c r="J3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0.41239999999999999</v>
      </c>
      <c r="K3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0.70183798502382577</v>
      </c>
    </row>
    <row r="36" spans="1:11" ht="30" x14ac:dyDescent="0.25">
      <c r="A36" s="2">
        <f t="shared" si="0"/>
        <v>35</v>
      </c>
      <c r="B36" s="5" t="s">
        <v>157</v>
      </c>
      <c r="C36" s="26"/>
      <c r="D36" s="3">
        <v>1</v>
      </c>
      <c r="E36" s="4"/>
      <c r="F36" s="23">
        <f>Таблица1[[#This Row],[Цена поступления (руб. за шт.)]]*Таблица1[[#This Row],[На остатке (шт.)]]</f>
        <v>0</v>
      </c>
      <c r="G36" s="4">
        <v>3100</v>
      </c>
      <c r="H36" s="23">
        <f>Таблица1[[#This Row],[Цена реализации (руб. за шт.)]]*Таблица1[[#This Row],[На остатке (шт.)]]</f>
        <v>3100</v>
      </c>
      <c r="I36" s="27">
        <v>45044.7106712963</v>
      </c>
      <c r="J3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3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37" spans="1:11" ht="30" x14ac:dyDescent="0.25">
      <c r="A37" s="2">
        <f t="shared" si="0"/>
        <v>36</v>
      </c>
      <c r="B37" s="5" t="s">
        <v>155</v>
      </c>
      <c r="C37" s="26"/>
      <c r="D37" s="3">
        <v>0</v>
      </c>
      <c r="E37" s="4"/>
      <c r="F37" s="23">
        <f>Таблица1[[#This Row],[Цена поступления (руб. за шт.)]]*Таблица1[[#This Row],[На остатке (шт.)]]</f>
        <v>0</v>
      </c>
      <c r="G37" s="4">
        <v>2900</v>
      </c>
      <c r="H37" s="23">
        <f>Таблица1[[#This Row],[Цена реализации (руб. за шт.)]]*Таблица1[[#This Row],[На остатке (шт.)]]</f>
        <v>0</v>
      </c>
      <c r="I37" s="27">
        <v>45045.399212962962</v>
      </c>
      <c r="J3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3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38" spans="1:11" ht="30" x14ac:dyDescent="0.25">
      <c r="A38" s="2">
        <f t="shared" si="0"/>
        <v>37</v>
      </c>
      <c r="B38" s="5" t="s">
        <v>82</v>
      </c>
      <c r="C38" s="26"/>
      <c r="D38" s="3">
        <v>12</v>
      </c>
      <c r="E38" s="4">
        <v>64.790000000000006</v>
      </c>
      <c r="F38" s="23">
        <f>Таблица1[[#This Row],[Цена поступления (руб. за шт.)]]*Таблица1[[#This Row],[На остатке (шт.)]]</f>
        <v>777.48</v>
      </c>
      <c r="G38" s="4">
        <v>140</v>
      </c>
      <c r="H38" s="23">
        <f>Таблица1[[#This Row],[Цена реализации (руб. за шт.)]]*Таблица1[[#This Row],[На остатке (шт.)]]</f>
        <v>1680</v>
      </c>
      <c r="I38" s="27">
        <v>45043.598634259259</v>
      </c>
      <c r="J3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0.53721428571428564</v>
      </c>
      <c r="K3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1.1608272881617532</v>
      </c>
    </row>
    <row r="39" spans="1:11" ht="30" x14ac:dyDescent="0.25">
      <c r="A39" s="2">
        <f t="shared" si="0"/>
        <v>38</v>
      </c>
      <c r="B39" s="5" t="s">
        <v>81</v>
      </c>
      <c r="C39" s="26"/>
      <c r="D39" s="3">
        <v>12</v>
      </c>
      <c r="E39" s="4">
        <v>64.790000000000006</v>
      </c>
      <c r="F39" s="23">
        <f>Таблица1[[#This Row],[Цена поступления (руб. за шт.)]]*Таблица1[[#This Row],[На остатке (шт.)]]</f>
        <v>777.48</v>
      </c>
      <c r="G39" s="4">
        <v>140</v>
      </c>
      <c r="H39" s="23">
        <f>Таблица1[[#This Row],[Цена реализации (руб. за шт.)]]*Таблица1[[#This Row],[На остатке (шт.)]]</f>
        <v>1680</v>
      </c>
      <c r="I39" s="27">
        <v>45043.598645833335</v>
      </c>
      <c r="J3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0.53721428571428564</v>
      </c>
      <c r="K3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1.1608272881617532</v>
      </c>
    </row>
    <row r="40" spans="1:11" ht="30" x14ac:dyDescent="0.25">
      <c r="A40" s="2">
        <f t="shared" si="0"/>
        <v>39</v>
      </c>
      <c r="B40" s="5" t="s">
        <v>83</v>
      </c>
      <c r="C40" s="26"/>
      <c r="D40" s="3">
        <v>12</v>
      </c>
      <c r="E40" s="4">
        <v>64.790000000000006</v>
      </c>
      <c r="F40" s="23">
        <f>Таблица1[[#This Row],[Цена поступления (руб. за шт.)]]*Таблица1[[#This Row],[На остатке (шт.)]]</f>
        <v>777.48</v>
      </c>
      <c r="G40" s="4">
        <v>140</v>
      </c>
      <c r="H40" s="23">
        <f>Таблица1[[#This Row],[Цена реализации (руб. за шт.)]]*Таблица1[[#This Row],[На остатке (шт.)]]</f>
        <v>1680</v>
      </c>
      <c r="I40" s="27">
        <v>45043.598657407405</v>
      </c>
      <c r="J4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0.53721428571428564</v>
      </c>
      <c r="K4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1.1608272881617532</v>
      </c>
    </row>
    <row r="41" spans="1:11" x14ac:dyDescent="0.25">
      <c r="A41" s="2">
        <f t="shared" si="0"/>
        <v>40</v>
      </c>
      <c r="B41" s="5" t="s">
        <v>158</v>
      </c>
      <c r="C41" s="26"/>
      <c r="D41" s="3">
        <v>1</v>
      </c>
      <c r="E41" s="4"/>
      <c r="F41" s="23">
        <f>Таблица1[[#This Row],[Цена поступления (руб. за шт.)]]*Таблица1[[#This Row],[На остатке (шт.)]]</f>
        <v>0</v>
      </c>
      <c r="G41" s="4">
        <v>3560</v>
      </c>
      <c r="H41" s="23">
        <f>Таблица1[[#This Row],[Цена реализации (руб. за шт.)]]*Таблица1[[#This Row],[На остатке (шт.)]]</f>
        <v>3560</v>
      </c>
      <c r="I41" s="27">
        <v>45044.712291666663</v>
      </c>
      <c r="J4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4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42" spans="1:11" x14ac:dyDescent="0.25">
      <c r="A42" s="2">
        <f t="shared" si="0"/>
        <v>41</v>
      </c>
      <c r="B42" s="5" t="s">
        <v>165</v>
      </c>
      <c r="C42" s="26"/>
      <c r="D42" s="3">
        <v>0</v>
      </c>
      <c r="E42" s="4"/>
      <c r="F42" s="23">
        <f>Таблица1[[#This Row],[Цена поступления (руб. за шт.)]]*Таблица1[[#This Row],[На остатке (шт.)]]</f>
        <v>0</v>
      </c>
      <c r="G42" s="4">
        <v>3600</v>
      </c>
      <c r="H42" s="23">
        <f>Таблица1[[#This Row],[Цена реализации (руб. за шт.)]]*Таблица1[[#This Row],[На остатке (шт.)]]</f>
        <v>0</v>
      </c>
      <c r="I42" s="27">
        <v>45059.705671296295</v>
      </c>
      <c r="J4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4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43" spans="1:11" x14ac:dyDescent="0.25">
      <c r="A43" s="2">
        <f t="shared" si="0"/>
        <v>42</v>
      </c>
      <c r="B43" s="26" t="s">
        <v>2</v>
      </c>
      <c r="C43" s="26"/>
      <c r="D43" s="3">
        <v>2</v>
      </c>
      <c r="E43" s="4"/>
      <c r="F43" s="23">
        <f>Таблица1[[#This Row],[Цена поступления (руб. за шт.)]]*Таблица1[[#This Row],[На остатке (шт.)]]</f>
        <v>0</v>
      </c>
      <c r="G43" s="4">
        <v>67000</v>
      </c>
      <c r="H43" s="23">
        <f>Таблица1[[#This Row],[Цена реализации (руб. за шт.)]]*Таблица1[[#This Row],[На остатке (шт.)]]</f>
        <v>134000</v>
      </c>
      <c r="I43" s="27">
        <v>45043.591145833336</v>
      </c>
      <c r="J4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4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44" spans="1:11" x14ac:dyDescent="0.25">
      <c r="A44" s="2">
        <f t="shared" si="0"/>
        <v>43</v>
      </c>
      <c r="B44" s="5" t="s">
        <v>3</v>
      </c>
      <c r="C44" s="26"/>
      <c r="D44" s="3">
        <v>1</v>
      </c>
      <c r="E44" s="4"/>
      <c r="F44" s="23">
        <f>Таблица1[[#This Row],[Цена поступления (руб. за шт.)]]*Таблица1[[#This Row],[На остатке (шт.)]]</f>
        <v>0</v>
      </c>
      <c r="G44" s="4">
        <v>87000</v>
      </c>
      <c r="H44" s="23">
        <f>Таблица1[[#This Row],[Цена реализации (руб. за шт.)]]*Таблица1[[#This Row],[На остатке (шт.)]]</f>
        <v>87000</v>
      </c>
      <c r="I44" s="27">
        <v>45043.591469907406</v>
      </c>
      <c r="J4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4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45" spans="1:11" x14ac:dyDescent="0.25">
      <c r="A45" s="2">
        <f t="shared" si="0"/>
        <v>44</v>
      </c>
      <c r="B45" s="5" t="s">
        <v>4</v>
      </c>
      <c r="C45" s="26"/>
      <c r="D45" s="3">
        <v>1</v>
      </c>
      <c r="E45" s="4"/>
      <c r="F45" s="23">
        <f>Таблица1[[#This Row],[Цена поступления (руб. за шт.)]]*Таблица1[[#This Row],[На остатке (шт.)]]</f>
        <v>0</v>
      </c>
      <c r="G45" s="4">
        <v>50000</v>
      </c>
      <c r="H45" s="23">
        <f>Таблица1[[#This Row],[Цена реализации (руб. за шт.)]]*Таблица1[[#This Row],[На остатке (шт.)]]</f>
        <v>50000</v>
      </c>
      <c r="I45" s="27">
        <v>45043.591736111113</v>
      </c>
      <c r="J4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4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46" spans="1:11" x14ac:dyDescent="0.25">
      <c r="A46" s="2">
        <f t="shared" si="0"/>
        <v>45</v>
      </c>
      <c r="B46" s="5" t="s">
        <v>7</v>
      </c>
      <c r="C46" s="26"/>
      <c r="D46" s="3">
        <v>2</v>
      </c>
      <c r="E46" s="4"/>
      <c r="F46" s="23">
        <f>Таблица1[[#This Row],[Цена поступления (руб. за шт.)]]*Таблица1[[#This Row],[На остатке (шт.)]]</f>
        <v>0</v>
      </c>
      <c r="G46" s="4">
        <v>46500</v>
      </c>
      <c r="H46" s="23">
        <f>Таблица1[[#This Row],[Цена реализации (руб. за шт.)]]*Таблица1[[#This Row],[На остатке (шт.)]]</f>
        <v>93000</v>
      </c>
      <c r="I46" s="27">
        <v>45043.593449074076</v>
      </c>
      <c r="J4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4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47" spans="1:11" x14ac:dyDescent="0.25">
      <c r="A47" s="2">
        <f t="shared" si="0"/>
        <v>46</v>
      </c>
      <c r="B47" s="5" t="s">
        <v>6</v>
      </c>
      <c r="C47" s="26"/>
      <c r="D47" s="3">
        <v>1</v>
      </c>
      <c r="E47" s="4"/>
      <c r="F47" s="23">
        <f>Таблица1[[#This Row],[Цена поступления (руб. за шт.)]]*Таблица1[[#This Row],[На остатке (шт.)]]</f>
        <v>0</v>
      </c>
      <c r="G47" s="4">
        <v>37000</v>
      </c>
      <c r="H47" s="23">
        <f>Таблица1[[#This Row],[Цена реализации (руб. за шт.)]]*Таблица1[[#This Row],[На остатке (шт.)]]</f>
        <v>37000</v>
      </c>
      <c r="I47" s="27">
        <v>45043.593611111108</v>
      </c>
      <c r="J4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4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48" spans="1:11" ht="45" x14ac:dyDescent="0.25">
      <c r="A48" s="2">
        <f t="shared" si="0"/>
        <v>47</v>
      </c>
      <c r="B48" s="5" t="s">
        <v>95</v>
      </c>
      <c r="C48" s="26"/>
      <c r="D48" s="3">
        <v>1</v>
      </c>
      <c r="E48" s="4"/>
      <c r="F48" s="23">
        <f>Таблица1[[#This Row],[Цена поступления (руб. за шт.)]]*Таблица1[[#This Row],[На остатке (шт.)]]</f>
        <v>0</v>
      </c>
      <c r="G48" s="4">
        <v>64000</v>
      </c>
      <c r="H48" s="23">
        <f>Таблица1[[#This Row],[Цена реализации (руб. за шт.)]]*Таблица1[[#This Row],[На остатке (шт.)]]</f>
        <v>64000</v>
      </c>
      <c r="I48" s="27">
        <v>45043.594108796293</v>
      </c>
      <c r="J4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4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49" spans="1:11" ht="30" x14ac:dyDescent="0.25">
      <c r="A49" s="2">
        <f t="shared" si="0"/>
        <v>48</v>
      </c>
      <c r="B49" s="5" t="s">
        <v>94</v>
      </c>
      <c r="C49" s="26"/>
      <c r="D49" s="3">
        <v>1</v>
      </c>
      <c r="E49" s="4"/>
      <c r="F49" s="23">
        <f>Таблица1[[#This Row],[Цена поступления (руб. за шт.)]]*Таблица1[[#This Row],[На остатке (шт.)]]</f>
        <v>0</v>
      </c>
      <c r="G49" s="4">
        <v>72000</v>
      </c>
      <c r="H49" s="23">
        <f>Таблица1[[#This Row],[Цена реализации (руб. за шт.)]]*Таблица1[[#This Row],[На остатке (шт.)]]</f>
        <v>72000</v>
      </c>
      <c r="I49" s="27">
        <v>45043.594143518516</v>
      </c>
      <c r="J4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4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50" spans="1:11" ht="30" x14ac:dyDescent="0.25">
      <c r="A50" s="2">
        <f t="shared" si="0"/>
        <v>49</v>
      </c>
      <c r="B50" s="5" t="s">
        <v>96</v>
      </c>
      <c r="C50" s="26"/>
      <c r="D50" s="3">
        <v>1</v>
      </c>
      <c r="E50" s="4"/>
      <c r="F50" s="23">
        <f>Таблица1[[#This Row],[Цена поступления (руб. за шт.)]]*Таблица1[[#This Row],[На остатке (шт.)]]</f>
        <v>0</v>
      </c>
      <c r="G50" s="4">
        <v>22900</v>
      </c>
      <c r="H50" s="23">
        <f>Таблица1[[#This Row],[Цена реализации (руб. за шт.)]]*Таблица1[[#This Row],[На остатке (шт.)]]</f>
        <v>22900</v>
      </c>
      <c r="I50" s="27">
        <v>45043.594351851854</v>
      </c>
      <c r="J5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5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51" spans="1:11" x14ac:dyDescent="0.25">
      <c r="A51" s="2">
        <f t="shared" si="0"/>
        <v>50</v>
      </c>
      <c r="B51" s="5" t="s">
        <v>97</v>
      </c>
      <c r="C51" s="26"/>
      <c r="D51" s="3">
        <v>2</v>
      </c>
      <c r="E51" s="4"/>
      <c r="F51" s="23">
        <f>Таблица1[[#This Row],[Цена поступления (руб. за шт.)]]*Таблица1[[#This Row],[На остатке (шт.)]]</f>
        <v>0</v>
      </c>
      <c r="G51" s="4">
        <v>29000</v>
      </c>
      <c r="H51" s="23">
        <f>Таблица1[[#This Row],[Цена реализации (руб. за шт.)]]*Таблица1[[#This Row],[На остатке (шт.)]]</f>
        <v>58000</v>
      </c>
      <c r="I51" s="27">
        <v>45043.594375000001</v>
      </c>
      <c r="J5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5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52" spans="1:11" x14ac:dyDescent="0.25">
      <c r="A52" s="2">
        <f t="shared" si="0"/>
        <v>51</v>
      </c>
      <c r="B52" s="5" t="s">
        <v>9</v>
      </c>
      <c r="C52" s="26"/>
      <c r="D52" s="3">
        <v>1</v>
      </c>
      <c r="E52" s="4"/>
      <c r="F52" s="23">
        <f>Таблица1[[#This Row],[Цена поступления (руб. за шт.)]]*Таблица1[[#This Row],[На остатке (шт.)]]</f>
        <v>0</v>
      </c>
      <c r="G52" s="4">
        <v>61000</v>
      </c>
      <c r="H52" s="23">
        <f>Таблица1[[#This Row],[Цена реализации (руб. за шт.)]]*Таблица1[[#This Row],[На остатке (шт.)]]</f>
        <v>61000</v>
      </c>
      <c r="I52" s="27">
        <v>45043.594386574077</v>
      </c>
      <c r="J5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5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53" spans="1:11" ht="30" x14ac:dyDescent="0.25">
      <c r="A53" s="2">
        <f t="shared" si="0"/>
        <v>52</v>
      </c>
      <c r="B53" s="5" t="s">
        <v>47</v>
      </c>
      <c r="C53" s="26"/>
      <c r="D53" s="3">
        <v>1</v>
      </c>
      <c r="E53" s="4"/>
      <c r="F53" s="23">
        <f>Таблица1[[#This Row],[Цена поступления (руб. за шт.)]]*Таблица1[[#This Row],[На остатке (шт.)]]</f>
        <v>0</v>
      </c>
      <c r="G53" s="4">
        <v>54800</v>
      </c>
      <c r="H53" s="23">
        <f>Таблица1[[#This Row],[Цена реализации (руб. за шт.)]]*Таблица1[[#This Row],[На остатке (шт.)]]</f>
        <v>54800</v>
      </c>
      <c r="I53" s="27">
        <v>45043.594409722224</v>
      </c>
      <c r="J5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5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54" spans="1:11" ht="30" x14ac:dyDescent="0.25">
      <c r="A54" s="2">
        <f t="shared" si="0"/>
        <v>53</v>
      </c>
      <c r="B54" s="5" t="s">
        <v>10</v>
      </c>
      <c r="C54" s="26"/>
      <c r="D54" s="3">
        <v>1</v>
      </c>
      <c r="E54" s="4"/>
      <c r="F54" s="23">
        <f>Таблица1[[#This Row],[Цена поступления (руб. за шт.)]]*Таблица1[[#This Row],[На остатке (шт.)]]</f>
        <v>0</v>
      </c>
      <c r="G54" s="4">
        <v>65000</v>
      </c>
      <c r="H54" s="23">
        <f>Таблица1[[#This Row],[Цена реализации (руб. за шт.)]]*Таблица1[[#This Row],[На остатке (шт.)]]</f>
        <v>65000</v>
      </c>
      <c r="I54" s="27">
        <v>45043.594409722224</v>
      </c>
      <c r="J5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5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55" spans="1:11" x14ac:dyDescent="0.25">
      <c r="A55" s="2">
        <f t="shared" si="0"/>
        <v>54</v>
      </c>
      <c r="B55" s="5" t="s">
        <v>5</v>
      </c>
      <c r="C55" s="26"/>
      <c r="D55" s="3">
        <v>0</v>
      </c>
      <c r="E55" s="4"/>
      <c r="F55" s="23">
        <f>Таблица1[[#This Row],[Цена поступления (руб. за шт.)]]*Таблица1[[#This Row],[На остатке (шт.)]]</f>
        <v>0</v>
      </c>
      <c r="G55" s="4">
        <v>39000</v>
      </c>
      <c r="H55" s="23">
        <f>Таблица1[[#This Row],[Цена реализации (руб. за шт.)]]*Таблица1[[#This Row],[На остатке (шт.)]]</f>
        <v>0</v>
      </c>
      <c r="I55" s="27">
        <v>45043.626631944448</v>
      </c>
      <c r="J5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5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56" spans="1:11" x14ac:dyDescent="0.25">
      <c r="A56" s="2">
        <f t="shared" si="0"/>
        <v>55</v>
      </c>
      <c r="B56" s="5" t="s">
        <v>8</v>
      </c>
      <c r="C56" s="26"/>
      <c r="D56" s="3">
        <v>0</v>
      </c>
      <c r="E56" s="4"/>
      <c r="F56" s="23">
        <f>Таблица1[[#This Row],[Цена поступления (руб. за шт.)]]*Таблица1[[#This Row],[На остатке (шт.)]]</f>
        <v>0</v>
      </c>
      <c r="G56" s="4">
        <v>29000</v>
      </c>
      <c r="H56" s="23">
        <f>Таблица1[[#This Row],[Цена реализации (руб. за шт.)]]*Таблица1[[#This Row],[На остатке (шт.)]]</f>
        <v>0</v>
      </c>
      <c r="I56" s="27">
        <v>45043.626967592594</v>
      </c>
      <c r="J5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5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57" spans="1:11" ht="30" x14ac:dyDescent="0.25">
      <c r="A57" s="2">
        <f t="shared" si="0"/>
        <v>56</v>
      </c>
      <c r="B57" s="5" t="s">
        <v>98</v>
      </c>
      <c r="C57" s="26"/>
      <c r="D57" s="3">
        <v>0</v>
      </c>
      <c r="E57" s="4"/>
      <c r="F57" s="23">
        <f>Таблица1[[#This Row],[Цена поступления (руб. за шт.)]]*Таблица1[[#This Row],[На остатке (шт.)]]</f>
        <v>0</v>
      </c>
      <c r="G57" s="4">
        <v>36000</v>
      </c>
      <c r="H57" s="23">
        <f>Таблица1[[#This Row],[Цена реализации (руб. за шт.)]]*Таблица1[[#This Row],[На остатке (шт.)]]</f>
        <v>0</v>
      </c>
      <c r="I57" s="27">
        <v>45043.627164351848</v>
      </c>
      <c r="J5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5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58" spans="1:11" x14ac:dyDescent="0.25">
      <c r="A58" s="2">
        <f t="shared" si="0"/>
        <v>57</v>
      </c>
      <c r="B58" s="5" t="s">
        <v>11</v>
      </c>
      <c r="C58" s="26"/>
      <c r="D58" s="3">
        <v>5</v>
      </c>
      <c r="E58" s="4">
        <v>24000</v>
      </c>
      <c r="F58" s="23">
        <f>Таблица1[[#This Row],[Цена поступления (руб. за шт.)]]*Таблица1[[#This Row],[На остатке (шт.)]]</f>
        <v>120000</v>
      </c>
      <c r="G58" s="4">
        <v>33000</v>
      </c>
      <c r="H58" s="23">
        <f>Таблица1[[#This Row],[Цена реализации (руб. за шт.)]]*Таблица1[[#This Row],[На остатке (шт.)]]</f>
        <v>165000</v>
      </c>
      <c r="I58" s="27">
        <v>45044.562893518516</v>
      </c>
      <c r="J5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0.27272727272727271</v>
      </c>
      <c r="K5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0.375</v>
      </c>
    </row>
    <row r="59" spans="1:11" ht="30" x14ac:dyDescent="0.25">
      <c r="A59" s="2">
        <f t="shared" si="0"/>
        <v>58</v>
      </c>
      <c r="B59" s="5" t="s">
        <v>99</v>
      </c>
      <c r="C59" s="26"/>
      <c r="D59" s="3">
        <v>1</v>
      </c>
      <c r="E59" s="4">
        <v>20500</v>
      </c>
      <c r="F59" s="23">
        <f>Таблица1[[#This Row],[Цена поступления (руб. за шт.)]]*Таблица1[[#This Row],[На остатке (шт.)]]</f>
        <v>20500</v>
      </c>
      <c r="G59" s="4">
        <v>25900</v>
      </c>
      <c r="H59" s="23">
        <f>Таблица1[[#This Row],[Цена реализации (руб. за шт.)]]*Таблица1[[#This Row],[На остатке (шт.)]]</f>
        <v>25900</v>
      </c>
      <c r="I59" s="27">
        <v>45059.701435185183</v>
      </c>
      <c r="J5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0.20849420849420849</v>
      </c>
      <c r="K5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0.26341463414634148</v>
      </c>
    </row>
    <row r="60" spans="1:11" ht="30" x14ac:dyDescent="0.25">
      <c r="A60" s="2">
        <f t="shared" si="0"/>
        <v>59</v>
      </c>
      <c r="B60" s="5" t="s">
        <v>263</v>
      </c>
      <c r="C60" s="26"/>
      <c r="D60" s="3">
        <v>1</v>
      </c>
      <c r="E60" s="4"/>
      <c r="F60" s="23">
        <f>Таблица1[[#This Row],[Цена поступления (руб. за шт.)]]*Таблица1[[#This Row],[На остатке (шт.)]]</f>
        <v>0</v>
      </c>
      <c r="G60" s="4">
        <v>14500</v>
      </c>
      <c r="H60" s="23">
        <f>Таблица1[[#This Row],[Цена реализации (руб. за шт.)]]*Таблица1[[#This Row],[На остатке (шт.)]]</f>
        <v>14500</v>
      </c>
      <c r="I60" s="27">
        <v>45055.485856481479</v>
      </c>
      <c r="J6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6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61" spans="1:11" x14ac:dyDescent="0.25">
      <c r="A61" s="2">
        <f t="shared" si="0"/>
        <v>60</v>
      </c>
      <c r="B61" s="5" t="s">
        <v>21</v>
      </c>
      <c r="C61" s="26"/>
      <c r="D61" s="3">
        <v>0</v>
      </c>
      <c r="E61" s="4"/>
      <c r="F61" s="23">
        <f>Таблица1[[#This Row],[Цена поступления (руб. за шт.)]]*Таблица1[[#This Row],[На остатке (шт.)]]</f>
        <v>0</v>
      </c>
      <c r="G61" s="4">
        <v>25900</v>
      </c>
      <c r="H61" s="23">
        <f>Таблица1[[#This Row],[Цена реализации (руб. за шт.)]]*Таблица1[[#This Row],[На остатке (шт.)]]</f>
        <v>0</v>
      </c>
      <c r="I61" s="27">
        <v>45045.483680555553</v>
      </c>
      <c r="J6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6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62" spans="1:11" ht="30" x14ac:dyDescent="0.25">
      <c r="A62" s="2">
        <f t="shared" si="0"/>
        <v>61</v>
      </c>
      <c r="B62" s="5" t="s">
        <v>264</v>
      </c>
      <c r="C62" s="26"/>
      <c r="D62" s="3">
        <v>0</v>
      </c>
      <c r="E62" s="4"/>
      <c r="F62" s="23">
        <f>Таблица1[[#This Row],[Цена поступления (руб. за шт.)]]*Таблица1[[#This Row],[На остатке (шт.)]]</f>
        <v>0</v>
      </c>
      <c r="G62" s="4">
        <v>24000</v>
      </c>
      <c r="H62" s="23">
        <f>Таблица1[[#This Row],[Цена реализации (руб. за шт.)]]*Таблица1[[#This Row],[На остатке (шт.)]]</f>
        <v>0</v>
      </c>
      <c r="I62" s="27">
        <v>45055.484224537038</v>
      </c>
      <c r="J6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6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63" spans="1:11" x14ac:dyDescent="0.25">
      <c r="A63" s="2">
        <f t="shared" si="0"/>
        <v>62</v>
      </c>
      <c r="B63" s="5" t="s">
        <v>24</v>
      </c>
      <c r="C63" s="26"/>
      <c r="D63" s="3">
        <v>1</v>
      </c>
      <c r="E63" s="4"/>
      <c r="F63" s="23">
        <f>Таблица1[[#This Row],[Цена поступления (руб. за шт.)]]*Таблица1[[#This Row],[На остатке (шт.)]]</f>
        <v>0</v>
      </c>
      <c r="G63" s="4">
        <v>19000</v>
      </c>
      <c r="H63" s="23">
        <f>Таблица1[[#This Row],[Цена реализации (руб. за шт.)]]*Таблица1[[#This Row],[На остатке (шт.)]]</f>
        <v>19000</v>
      </c>
      <c r="I63" s="27">
        <v>45043.598483796297</v>
      </c>
      <c r="J6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6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64" spans="1:11" x14ac:dyDescent="0.25">
      <c r="A64" s="2">
        <f t="shared" si="0"/>
        <v>63</v>
      </c>
      <c r="B64" s="5" t="s">
        <v>25</v>
      </c>
      <c r="C64" s="26"/>
      <c r="D64" s="3">
        <v>2</v>
      </c>
      <c r="E64" s="4"/>
      <c r="F64" s="23">
        <f>Таблица1[[#This Row],[Цена поступления (руб. за шт.)]]*Таблица1[[#This Row],[На остатке (шт.)]]</f>
        <v>0</v>
      </c>
      <c r="G64" s="4">
        <v>19000</v>
      </c>
      <c r="H64" s="23">
        <f>Таблица1[[#This Row],[Цена реализации (руб. за шт.)]]*Таблица1[[#This Row],[На остатке (шт.)]]</f>
        <v>38000</v>
      </c>
      <c r="I64" s="27">
        <v>45043.598506944443</v>
      </c>
      <c r="J6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6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65" spans="1:11" x14ac:dyDescent="0.25">
      <c r="A65" s="2">
        <f t="shared" si="0"/>
        <v>64</v>
      </c>
      <c r="B65" s="5" t="s">
        <v>26</v>
      </c>
      <c r="C65" s="26"/>
      <c r="D65" s="3">
        <v>1</v>
      </c>
      <c r="E65" s="4"/>
      <c r="F65" s="23">
        <f>Таблица1[[#This Row],[Цена поступления (руб. за шт.)]]*Таблица1[[#This Row],[На остатке (шт.)]]</f>
        <v>0</v>
      </c>
      <c r="G65" s="4">
        <v>19500</v>
      </c>
      <c r="H65" s="23">
        <f>Таблица1[[#This Row],[Цена реализации (руб. за шт.)]]*Таблица1[[#This Row],[На остатке (шт.)]]</f>
        <v>19500</v>
      </c>
      <c r="I65" s="27">
        <v>45043.598541666666</v>
      </c>
      <c r="J6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6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66" spans="1:11" x14ac:dyDescent="0.25">
      <c r="A66" s="2">
        <f t="shared" si="0"/>
        <v>65</v>
      </c>
      <c r="B66" s="5" t="s">
        <v>27</v>
      </c>
      <c r="C66" s="26"/>
      <c r="D66" s="3">
        <v>1</v>
      </c>
      <c r="E66" s="4"/>
      <c r="F66" s="23">
        <f>Таблица1[[#This Row],[Цена поступления (руб. за шт.)]]*Таблица1[[#This Row],[На остатке (шт.)]]</f>
        <v>0</v>
      </c>
      <c r="G66" s="4">
        <v>15500</v>
      </c>
      <c r="H66" s="23">
        <f>Таблица1[[#This Row],[Цена реализации (руб. за шт.)]]*Таблица1[[#This Row],[На остатке (шт.)]]</f>
        <v>15500</v>
      </c>
      <c r="I66" s="27">
        <v>45043.598553240743</v>
      </c>
      <c r="J6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6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67" spans="1:11" x14ac:dyDescent="0.25">
      <c r="A67" s="2">
        <f t="shared" si="0"/>
        <v>66</v>
      </c>
      <c r="B67" s="5" t="s">
        <v>28</v>
      </c>
      <c r="C67" s="26"/>
      <c r="D67" s="3">
        <v>1</v>
      </c>
      <c r="E67" s="4"/>
      <c r="F67" s="23">
        <f>Таблица1[[#This Row],[Цена поступления (руб. за шт.)]]*Таблица1[[#This Row],[На остатке (шт.)]]</f>
        <v>0</v>
      </c>
      <c r="G67" s="4">
        <v>22000</v>
      </c>
      <c r="H67" s="23">
        <f>Таблица1[[#This Row],[Цена реализации (руб. за шт.)]]*Таблица1[[#This Row],[На остатке (шт.)]]</f>
        <v>22000</v>
      </c>
      <c r="I67" s="27">
        <v>45043.598564814813</v>
      </c>
      <c r="J6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6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68" spans="1:11" x14ac:dyDescent="0.25">
      <c r="A68" s="2">
        <f t="shared" si="0"/>
        <v>67</v>
      </c>
      <c r="B68" s="5" t="s">
        <v>29</v>
      </c>
      <c r="C68" s="26"/>
      <c r="D68" s="3">
        <v>1</v>
      </c>
      <c r="E68" s="4"/>
      <c r="F68" s="23">
        <f>Таблица1[[#This Row],[Цена поступления (руб. за шт.)]]*Таблица1[[#This Row],[На остатке (шт.)]]</f>
        <v>0</v>
      </c>
      <c r="G68" s="4">
        <v>22700</v>
      </c>
      <c r="H68" s="23">
        <f>Таблица1[[#This Row],[Цена реализации (руб. за шт.)]]*Таблица1[[#This Row],[На остатке (шт.)]]</f>
        <v>22700</v>
      </c>
      <c r="I68" s="27">
        <v>45043.598599537036</v>
      </c>
      <c r="J6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6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69" spans="1:11" x14ac:dyDescent="0.25">
      <c r="A69" s="2">
        <f t="shared" ref="A69:A149" si="1">ROW()-1</f>
        <v>68</v>
      </c>
      <c r="B69" s="5" t="s">
        <v>30</v>
      </c>
      <c r="C69" s="26"/>
      <c r="D69" s="3">
        <v>1</v>
      </c>
      <c r="E69" s="4"/>
      <c r="F69" s="23">
        <f>Таблица1[[#This Row],[Цена поступления (руб. за шт.)]]*Таблица1[[#This Row],[На остатке (шт.)]]</f>
        <v>0</v>
      </c>
      <c r="G69" s="4">
        <v>19400</v>
      </c>
      <c r="H69" s="23">
        <f>Таблица1[[#This Row],[Цена реализации (руб. за шт.)]]*Таблица1[[#This Row],[На остатке (шт.)]]</f>
        <v>19400</v>
      </c>
      <c r="I69" s="27">
        <v>45043.598622685182</v>
      </c>
      <c r="J6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6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70" spans="1:11" ht="30" x14ac:dyDescent="0.25">
      <c r="A70" s="2">
        <f t="shared" si="1"/>
        <v>69</v>
      </c>
      <c r="B70" s="5" t="s">
        <v>63</v>
      </c>
      <c r="C70" s="26"/>
      <c r="D70" s="3">
        <v>10</v>
      </c>
      <c r="E70" s="4">
        <v>182.9</v>
      </c>
      <c r="F70" s="23">
        <f>Таблица1[[#This Row],[Цена поступления (руб. за шт.)]]*Таблица1[[#This Row],[На остатке (шт.)]]</f>
        <v>1829</v>
      </c>
      <c r="G70" s="4">
        <v>500</v>
      </c>
      <c r="H70" s="23">
        <f>Таблица1[[#This Row],[Цена реализации (руб. за шт.)]]*Таблица1[[#This Row],[На остатке (шт.)]]</f>
        <v>5000</v>
      </c>
      <c r="I70" s="27">
        <v>45043.598726851851</v>
      </c>
      <c r="J7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0.6342000000000001</v>
      </c>
      <c r="K7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1.7337342810278842</v>
      </c>
    </row>
    <row r="71" spans="1:11" ht="60" x14ac:dyDescent="0.25">
      <c r="A71" s="2">
        <f t="shared" si="1"/>
        <v>70</v>
      </c>
      <c r="B71" s="5" t="s">
        <v>64</v>
      </c>
      <c r="C71" s="26"/>
      <c r="D71" s="3">
        <v>3</v>
      </c>
      <c r="E71" s="4">
        <v>3320.52</v>
      </c>
      <c r="F71" s="23">
        <f>Таблица1[[#This Row],[Цена поступления (руб. за шт.)]]*Таблица1[[#This Row],[На остатке (шт.)]]</f>
        <v>9961.56</v>
      </c>
      <c r="G71" s="4">
        <v>6500</v>
      </c>
      <c r="H71" s="23">
        <f>Таблица1[[#This Row],[Цена реализации (руб. за шт.)]]*Таблица1[[#This Row],[На остатке (шт.)]]</f>
        <v>19500</v>
      </c>
      <c r="I71" s="27">
        <v>45043.598738425928</v>
      </c>
      <c r="J7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0.48915076923076922</v>
      </c>
      <c r="K7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0.95752472504306552</v>
      </c>
    </row>
    <row r="72" spans="1:11" ht="45" x14ac:dyDescent="0.25">
      <c r="A72" s="2">
        <f t="shared" si="1"/>
        <v>71</v>
      </c>
      <c r="B72" s="5" t="s">
        <v>65</v>
      </c>
      <c r="C72" s="26"/>
      <c r="D72" s="3">
        <v>1</v>
      </c>
      <c r="E72" s="4">
        <v>4222.04</v>
      </c>
      <c r="F72" s="23">
        <f>Таблица1[[#This Row],[Цена поступления (руб. за шт.)]]*Таблица1[[#This Row],[На остатке (шт.)]]</f>
        <v>4222.04</v>
      </c>
      <c r="G72" s="4">
        <v>6500</v>
      </c>
      <c r="H72" s="23">
        <f>Таблица1[[#This Row],[Цена реализации (руб. за шт.)]]*Таблица1[[#This Row],[На остатке (шт.)]]</f>
        <v>6500</v>
      </c>
      <c r="I72" s="27">
        <v>45043.598749999997</v>
      </c>
      <c r="J7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0.35045538461538461</v>
      </c>
      <c r="K7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0.53954012752129299</v>
      </c>
    </row>
    <row r="73" spans="1:11" ht="45" x14ac:dyDescent="0.25">
      <c r="A73" s="2">
        <f t="shared" si="1"/>
        <v>72</v>
      </c>
      <c r="B73" s="5" t="s">
        <v>66</v>
      </c>
      <c r="C73" s="26"/>
      <c r="D73" s="3">
        <v>10</v>
      </c>
      <c r="E73" s="4">
        <v>947.54</v>
      </c>
      <c r="F73" s="23">
        <f>Таблица1[[#This Row],[Цена поступления (руб. за шт.)]]*Таблица1[[#This Row],[На остатке (шт.)]]</f>
        <v>9475.4</v>
      </c>
      <c r="G73" s="4">
        <v>3200</v>
      </c>
      <c r="H73" s="23">
        <f>Таблица1[[#This Row],[Цена реализации (руб. за шт.)]]*Таблица1[[#This Row],[На остатке (шт.)]]</f>
        <v>32000</v>
      </c>
      <c r="I73" s="27">
        <v>45043.598761574074</v>
      </c>
      <c r="J73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0.70389374999999998</v>
      </c>
      <c r="K73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2.377166135466577</v>
      </c>
    </row>
    <row r="74" spans="1:11" ht="45" x14ac:dyDescent="0.25">
      <c r="A74" s="2">
        <f t="shared" si="1"/>
        <v>73</v>
      </c>
      <c r="B74" s="5" t="s">
        <v>67</v>
      </c>
      <c r="C74" s="26"/>
      <c r="D74" s="3">
        <v>10</v>
      </c>
      <c r="E74" s="4">
        <v>964.06</v>
      </c>
      <c r="F74" s="23">
        <f>Таблица1[[#This Row],[Цена поступления (руб. за шт.)]]*Таблица1[[#This Row],[На остатке (шт.)]]</f>
        <v>9640.5999999999985</v>
      </c>
      <c r="G74" s="4">
        <v>3200</v>
      </c>
      <c r="H74" s="23">
        <f>Таблица1[[#This Row],[Цена реализации (руб. за шт.)]]*Таблица1[[#This Row],[На остатке (шт.)]]</f>
        <v>32000</v>
      </c>
      <c r="I74" s="27">
        <v>45043.598773148151</v>
      </c>
      <c r="J74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0.69873125000000003</v>
      </c>
      <c r="K74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2.3192954795344689</v>
      </c>
    </row>
    <row r="75" spans="1:11" ht="45" x14ac:dyDescent="0.25">
      <c r="A75" s="2">
        <f t="shared" si="1"/>
        <v>74</v>
      </c>
      <c r="B75" s="5" t="s">
        <v>68</v>
      </c>
      <c r="C75" s="26"/>
      <c r="D75" s="3">
        <v>8</v>
      </c>
      <c r="E75" s="4">
        <v>790</v>
      </c>
      <c r="F75" s="23">
        <f>Таблица1[[#This Row],[Цена поступления (руб. за шт.)]]*Таблица1[[#This Row],[На остатке (шт.)]]</f>
        <v>6320</v>
      </c>
      <c r="G75" s="4">
        <v>2700</v>
      </c>
      <c r="H75" s="23">
        <f>Таблица1[[#This Row],[Цена реализации (руб. за шт.)]]*Таблица1[[#This Row],[На остатке (шт.)]]</f>
        <v>21600</v>
      </c>
      <c r="I75" s="27">
        <v>45043.59878472222</v>
      </c>
      <c r="J7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0.70740740740740737</v>
      </c>
      <c r="K7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2.4177215189873418</v>
      </c>
    </row>
    <row r="76" spans="1:11" x14ac:dyDescent="0.25">
      <c r="A76" s="2">
        <f t="shared" si="1"/>
        <v>75</v>
      </c>
      <c r="B76" s="5" t="s">
        <v>69</v>
      </c>
      <c r="C76" s="26"/>
      <c r="D76" s="3">
        <v>5</v>
      </c>
      <c r="E76" s="4">
        <v>1640.2</v>
      </c>
      <c r="F76" s="23">
        <f>Таблица1[[#This Row],[Цена поступления (руб. за шт.)]]*Таблица1[[#This Row],[На остатке (шт.)]]</f>
        <v>8201</v>
      </c>
      <c r="G76" s="4">
        <v>3500</v>
      </c>
      <c r="H76" s="23">
        <f>Таблица1[[#This Row],[Цена реализации (руб. за шт.)]]*Таблица1[[#This Row],[На остатке (шт.)]]</f>
        <v>17500</v>
      </c>
      <c r="I76" s="27">
        <v>45043.598807870374</v>
      </c>
      <c r="J76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0.53137142857142861</v>
      </c>
      <c r="K76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1.1338861114498231</v>
      </c>
    </row>
    <row r="77" spans="1:11" ht="30" x14ac:dyDescent="0.25">
      <c r="A77" s="2">
        <f t="shared" si="1"/>
        <v>76</v>
      </c>
      <c r="B77" s="5" t="s">
        <v>285</v>
      </c>
      <c r="C77" s="26"/>
      <c r="D77" s="3">
        <v>2</v>
      </c>
      <c r="E77" s="4">
        <v>5900</v>
      </c>
      <c r="F77" s="23">
        <f>Таблица1[[#This Row],[Цена поступления (руб. за шт.)]]*Таблица1[[#This Row],[На остатке (шт.)]]</f>
        <v>11800</v>
      </c>
      <c r="G77" s="4">
        <v>6900</v>
      </c>
      <c r="H77" s="23">
        <f>Таблица1[[#This Row],[Цена реализации (руб. за шт.)]]*Таблица1[[#This Row],[На остатке (шт.)]]</f>
        <v>13800</v>
      </c>
      <c r="I77" s="27">
        <v>45056.581701388888</v>
      </c>
      <c r="J7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0.14492753623188406</v>
      </c>
      <c r="K7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0.16949152542372881</v>
      </c>
    </row>
    <row r="78" spans="1:11" ht="30" x14ac:dyDescent="0.25">
      <c r="A78" s="2">
        <f t="shared" si="1"/>
        <v>77</v>
      </c>
      <c r="B78" s="5" t="s">
        <v>288</v>
      </c>
      <c r="C78" s="26"/>
      <c r="D78" s="3">
        <v>1</v>
      </c>
      <c r="E78" s="4"/>
      <c r="F78" s="23">
        <f>Таблица1[[#This Row],[Цена поступления (руб. за шт.)]]*Таблица1[[#This Row],[На остатке (шт.)]]</f>
        <v>0</v>
      </c>
      <c r="G78" s="4">
        <v>22700</v>
      </c>
      <c r="H78" s="23">
        <f>Таблица1[[#This Row],[Цена реализации (руб. за шт.)]]*Таблица1[[#This Row],[На остатке (шт.)]]</f>
        <v>22700</v>
      </c>
      <c r="I78" s="27">
        <v>45056.594525462962</v>
      </c>
      <c r="J7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7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79" spans="1:11" ht="30" x14ac:dyDescent="0.25">
      <c r="A79" s="2">
        <f t="shared" si="1"/>
        <v>78</v>
      </c>
      <c r="B79" s="5" t="s">
        <v>287</v>
      </c>
      <c r="C79" s="26"/>
      <c r="D79" s="3">
        <v>1</v>
      </c>
      <c r="E79" s="4"/>
      <c r="F79" s="23">
        <f>Таблица1[[#This Row],[Цена поступления (руб. за шт.)]]*Таблица1[[#This Row],[На остатке (шт.)]]</f>
        <v>0</v>
      </c>
      <c r="G79" s="4">
        <v>19500</v>
      </c>
      <c r="H79" s="23">
        <f>Таблица1[[#This Row],[Цена реализации (руб. за шт.)]]*Таблица1[[#This Row],[На остатке (шт.)]]</f>
        <v>19500</v>
      </c>
      <c r="I79" s="27">
        <v>45056.594247685185</v>
      </c>
      <c r="J7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7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80" spans="1:11" ht="30" x14ac:dyDescent="0.25">
      <c r="A80" s="2">
        <f t="shared" si="1"/>
        <v>79</v>
      </c>
      <c r="B80" s="5" t="s">
        <v>286</v>
      </c>
      <c r="C80" s="26"/>
      <c r="D80" s="3">
        <v>1</v>
      </c>
      <c r="E80" s="4">
        <v>15065</v>
      </c>
      <c r="F80" s="23">
        <f>Таблица1[[#This Row],[Цена поступления (руб. за шт.)]]*Таблица1[[#This Row],[На остатке (шт.)]]</f>
        <v>15065</v>
      </c>
      <c r="G80" s="4">
        <v>19500</v>
      </c>
      <c r="H80" s="23">
        <f>Таблица1[[#This Row],[Цена реализации (руб. за шт.)]]*Таблица1[[#This Row],[На остатке (шт.)]]</f>
        <v>19500</v>
      </c>
      <c r="I80" s="27">
        <v>45056.592442129629</v>
      </c>
      <c r="J8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0.22743589743589743</v>
      </c>
      <c r="K8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0.29439097245270496</v>
      </c>
    </row>
    <row r="81" spans="1:11" ht="30" x14ac:dyDescent="0.25">
      <c r="A81" s="2">
        <f t="shared" si="1"/>
        <v>80</v>
      </c>
      <c r="B81" s="5" t="s">
        <v>289</v>
      </c>
      <c r="C81" s="26"/>
      <c r="D81" s="3">
        <v>2</v>
      </c>
      <c r="E81" s="4">
        <v>16100</v>
      </c>
      <c r="F81" s="23">
        <f>Таблица1[[#This Row],[Цена поступления (руб. за шт.)]]*Таблица1[[#This Row],[На остатке (шт.)]]</f>
        <v>32200</v>
      </c>
      <c r="G81" s="4">
        <v>19500</v>
      </c>
      <c r="H81" s="23">
        <f>Таблица1[[#This Row],[Цена реализации (руб. за шт.)]]*Таблица1[[#This Row],[На остатке (шт.)]]</f>
        <v>39000</v>
      </c>
      <c r="I81" s="27">
        <v>45056.595451388886</v>
      </c>
      <c r="J8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0.17435897435897435</v>
      </c>
      <c r="K8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0.21118012422360249</v>
      </c>
    </row>
    <row r="82" spans="1:11" x14ac:dyDescent="0.25">
      <c r="A82" s="2">
        <f t="shared" si="1"/>
        <v>81</v>
      </c>
      <c r="B82" s="5" t="s">
        <v>290</v>
      </c>
      <c r="C82" s="26"/>
      <c r="D82" s="3">
        <v>2</v>
      </c>
      <c r="E82" s="4">
        <v>14375</v>
      </c>
      <c r="F82" s="23">
        <f>Таблица1[[#This Row],[Цена поступления (руб. за шт.)]]*Таблица1[[#This Row],[На остатке (шт.)]]</f>
        <v>28750</v>
      </c>
      <c r="G82" s="4">
        <v>19400</v>
      </c>
      <c r="H82" s="23">
        <f>Таблица1[[#This Row],[Цена реализации (руб. за шт.)]]*Таблица1[[#This Row],[На остатке (шт.)]]</f>
        <v>38800</v>
      </c>
      <c r="I82" s="27">
        <v>45056.602037037039</v>
      </c>
      <c r="J8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0.25902061855670105</v>
      </c>
      <c r="K8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0.34956521739130436</v>
      </c>
    </row>
    <row r="83" spans="1:11" ht="32.25" customHeight="1" x14ac:dyDescent="0.25">
      <c r="A83" s="2">
        <f t="shared" si="1"/>
        <v>82</v>
      </c>
      <c r="B83" s="5" t="s">
        <v>292</v>
      </c>
      <c r="C83" s="26"/>
      <c r="D83" s="3">
        <v>1</v>
      </c>
      <c r="E83" s="4"/>
      <c r="F83" s="23">
        <f>Таблица1[[#This Row],[Цена поступления (руб. за шт.)]]*Таблица1[[#This Row],[На остатке (шт.)]]</f>
        <v>0</v>
      </c>
      <c r="G83" s="4"/>
      <c r="H83" s="23">
        <f>Таблица1[[#This Row],[Цена реализации (руб. за шт.)]]*Таблица1[[#This Row],[На остатке (шт.)]]</f>
        <v>0</v>
      </c>
      <c r="I83" s="27">
        <v>45056.610300925924</v>
      </c>
      <c r="J8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8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84" spans="1:11" ht="30" x14ac:dyDescent="0.25">
      <c r="A84" s="2">
        <f t="shared" si="1"/>
        <v>83</v>
      </c>
      <c r="B84" s="5" t="s">
        <v>291</v>
      </c>
      <c r="C84" s="26"/>
      <c r="D84" s="3">
        <v>1</v>
      </c>
      <c r="E84" s="4"/>
      <c r="F84" s="23">
        <f>Таблица1[[#This Row],[Цена поступления (руб. за шт.)]]*Таблица1[[#This Row],[На остатке (шт.)]]</f>
        <v>0</v>
      </c>
      <c r="G84" s="4">
        <v>24000</v>
      </c>
      <c r="H84" s="23">
        <f>Таблица1[[#This Row],[Цена реализации (руб. за шт.)]]*Таблица1[[#This Row],[На остатке (шт.)]]</f>
        <v>24000</v>
      </c>
      <c r="I84" s="27">
        <v>45056.612060185187</v>
      </c>
      <c r="J8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8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85" spans="1:11" ht="30" x14ac:dyDescent="0.25">
      <c r="A85" s="2">
        <f t="shared" si="1"/>
        <v>84</v>
      </c>
      <c r="B85" s="5" t="s">
        <v>293</v>
      </c>
      <c r="C85" s="26"/>
      <c r="D85" s="3">
        <v>1</v>
      </c>
      <c r="E85" s="4"/>
      <c r="F85" s="23">
        <f>Таблица1[[#This Row],[Цена поступления (руб. за шт.)]]*Таблица1[[#This Row],[На остатке (шт.)]]</f>
        <v>0</v>
      </c>
      <c r="G85" s="4">
        <v>20000</v>
      </c>
      <c r="H85" s="23">
        <f>Таблица1[[#This Row],[Цена реализации (руб. за шт.)]]*Таблица1[[#This Row],[На остатке (шт.)]]</f>
        <v>20000</v>
      </c>
      <c r="I85" s="27">
        <v>45056.616249999999</v>
      </c>
      <c r="J8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8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86" spans="1:11" ht="30" x14ac:dyDescent="0.25">
      <c r="A86" s="2">
        <f t="shared" si="1"/>
        <v>85</v>
      </c>
      <c r="B86" s="5" t="s">
        <v>294</v>
      </c>
      <c r="C86" s="26"/>
      <c r="D86" s="3">
        <v>1</v>
      </c>
      <c r="E86" s="4"/>
      <c r="F86" s="23">
        <f>Таблица1[[#This Row],[Цена поступления (руб. за шт.)]]*Таблица1[[#This Row],[На остатке (шт.)]]</f>
        <v>0</v>
      </c>
      <c r="G86" s="4">
        <v>24000</v>
      </c>
      <c r="H86" s="23">
        <f>Таблица1[[#This Row],[Цена реализации (руб. за шт.)]]*Таблица1[[#This Row],[На остатке (шт.)]]</f>
        <v>24000</v>
      </c>
      <c r="I86" s="27">
        <v>45056.617280092592</v>
      </c>
      <c r="J8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8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87" spans="1:11" x14ac:dyDescent="0.25">
      <c r="A87" s="2">
        <f t="shared" si="1"/>
        <v>86</v>
      </c>
      <c r="B87" s="5" t="s">
        <v>23</v>
      </c>
      <c r="C87" s="26"/>
      <c r="D87" s="3">
        <v>1</v>
      </c>
      <c r="E87" s="4"/>
      <c r="F87" s="23">
        <f>Таблица1[[#This Row],[Цена поступления (руб. за шт.)]]*Таблица1[[#This Row],[На остатке (шт.)]]</f>
        <v>0</v>
      </c>
      <c r="G87" s="4">
        <v>18000</v>
      </c>
      <c r="H87" s="23">
        <f>Таблица1[[#This Row],[Цена реализации (руб. за шт.)]]*Таблица1[[#This Row],[На остатке (шт.)]]</f>
        <v>18000</v>
      </c>
      <c r="I87" s="27">
        <v>45045.484432870369</v>
      </c>
      <c r="J8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8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88" spans="1:11" x14ac:dyDescent="0.25">
      <c r="A88" s="2">
        <f t="shared" si="1"/>
        <v>87</v>
      </c>
      <c r="B88" s="5" t="s">
        <v>22</v>
      </c>
      <c r="C88" s="26"/>
      <c r="D88" s="3">
        <v>0</v>
      </c>
      <c r="E88" s="4"/>
      <c r="F88" s="23">
        <f>Таблица1[[#This Row],[Цена поступления (руб. за шт.)]]*Таблица1[[#This Row],[На остатке (шт.)]]</f>
        <v>0</v>
      </c>
      <c r="G88" s="4">
        <v>12900</v>
      </c>
      <c r="H88" s="23">
        <f>Таблица1[[#This Row],[Цена реализации (руб. за шт.)]]*Таблица1[[#This Row],[На остатке (шт.)]]</f>
        <v>0</v>
      </c>
      <c r="I88" s="27">
        <v>45045.5078125</v>
      </c>
      <c r="J8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8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89" spans="1:11" ht="30" x14ac:dyDescent="0.25">
      <c r="A89" s="2">
        <f t="shared" si="1"/>
        <v>88</v>
      </c>
      <c r="B89" s="5" t="s">
        <v>100</v>
      </c>
      <c r="C89" s="26"/>
      <c r="D89" s="3">
        <v>2</v>
      </c>
      <c r="E89" s="4"/>
      <c r="F89" s="23">
        <f>Таблица1[[#This Row],[Цена поступления (руб. за шт.)]]*Таблица1[[#This Row],[На остатке (шт.)]]</f>
        <v>0</v>
      </c>
      <c r="G89" s="4">
        <v>2450</v>
      </c>
      <c r="H89" s="23">
        <f>Таблица1[[#This Row],[Цена реализации (руб. за шт.)]]*Таблица1[[#This Row],[На остатке (шт.)]]</f>
        <v>4900</v>
      </c>
      <c r="I89" s="27">
        <v>45044.489178240743</v>
      </c>
      <c r="J8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8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90" spans="1:11" ht="30" x14ac:dyDescent="0.25">
      <c r="A90" s="2">
        <f t="shared" si="1"/>
        <v>89</v>
      </c>
      <c r="B90" s="5" t="s">
        <v>104</v>
      </c>
      <c r="C90" s="26"/>
      <c r="D90" s="3">
        <v>10</v>
      </c>
      <c r="E90" s="4"/>
      <c r="F90" s="23">
        <f>Таблица1[[#This Row],[Цена поступления (руб. за шт.)]]*Таблица1[[#This Row],[На остатке (шт.)]]</f>
        <v>0</v>
      </c>
      <c r="G90" s="4">
        <v>3500</v>
      </c>
      <c r="H90" s="23">
        <f>Таблица1[[#This Row],[Цена реализации (руб. за шт.)]]*Таблица1[[#This Row],[На остатке (шт.)]]</f>
        <v>35000</v>
      </c>
      <c r="I90" s="27">
        <v>45059.701226851852</v>
      </c>
      <c r="J9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9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91" spans="1:11" ht="30" x14ac:dyDescent="0.25">
      <c r="A91" s="2">
        <f t="shared" si="1"/>
        <v>90</v>
      </c>
      <c r="B91" s="5" t="s">
        <v>103</v>
      </c>
      <c r="C91" s="26"/>
      <c r="D91" s="3">
        <v>15</v>
      </c>
      <c r="E91" s="4"/>
      <c r="F91" s="23">
        <f>Таблица1[[#This Row],[Цена поступления (руб. за шт.)]]*Таблица1[[#This Row],[На остатке (шт.)]]</f>
        <v>0</v>
      </c>
      <c r="G91" s="4">
        <v>3900</v>
      </c>
      <c r="H91" s="23">
        <f>Таблица1[[#This Row],[Цена реализации (руб. за шт.)]]*Таблица1[[#This Row],[На остатке (шт.)]]</f>
        <v>58500</v>
      </c>
      <c r="I91" s="27">
        <v>45044.489374999997</v>
      </c>
      <c r="J9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9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92" spans="1:11" ht="30" x14ac:dyDescent="0.25">
      <c r="A92" s="2">
        <f t="shared" si="1"/>
        <v>91</v>
      </c>
      <c r="B92" s="5" t="s">
        <v>105</v>
      </c>
      <c r="C92" s="26"/>
      <c r="D92" s="3">
        <v>6</v>
      </c>
      <c r="E92" s="4"/>
      <c r="F92" s="23">
        <f>Таблица1[[#This Row],[Цена поступления (руб. за шт.)]]*Таблица1[[#This Row],[На остатке (шт.)]]</f>
        <v>0</v>
      </c>
      <c r="G92" s="4">
        <v>3700</v>
      </c>
      <c r="H92" s="23">
        <f>Таблица1[[#This Row],[Цена реализации (руб. за шт.)]]*Таблица1[[#This Row],[На остатке (шт.)]]</f>
        <v>22200</v>
      </c>
      <c r="I92" s="27">
        <v>45059.700578703705</v>
      </c>
      <c r="J9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9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93" spans="1:11" ht="30" x14ac:dyDescent="0.25">
      <c r="A93" s="2">
        <f t="shared" si="1"/>
        <v>92</v>
      </c>
      <c r="B93" s="5" t="s">
        <v>129</v>
      </c>
      <c r="C93" s="26"/>
      <c r="D93" s="3">
        <v>1</v>
      </c>
      <c r="E93" s="4"/>
      <c r="F93" s="23">
        <f>Таблица1[[#This Row],[Цена поступления (руб. за шт.)]]*Таблица1[[#This Row],[На остатке (шт.)]]</f>
        <v>0</v>
      </c>
      <c r="G93" s="4">
        <v>1800</v>
      </c>
      <c r="H93" s="23">
        <f>Таблица1[[#This Row],[Цена реализации (руб. за шт.)]]*Таблица1[[#This Row],[На остатке (шт.)]]</f>
        <v>1800</v>
      </c>
      <c r="I93" s="27">
        <v>45044.493923611109</v>
      </c>
      <c r="J9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9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94" spans="1:11" ht="30" x14ac:dyDescent="0.25">
      <c r="A94" s="2">
        <f t="shared" si="1"/>
        <v>93</v>
      </c>
      <c r="B94" s="5" t="s">
        <v>101</v>
      </c>
      <c r="C94" s="26"/>
      <c r="D94" s="3">
        <v>7</v>
      </c>
      <c r="E94" s="4"/>
      <c r="F94" s="23">
        <f>Таблица1[[#This Row],[Цена поступления (руб. за шт.)]]*Таблица1[[#This Row],[На остатке (шт.)]]</f>
        <v>0</v>
      </c>
      <c r="G94" s="4">
        <v>3700</v>
      </c>
      <c r="H94" s="23">
        <f>Таблица1[[#This Row],[Цена реализации (руб. за шт.)]]*Таблица1[[#This Row],[На остатке (шт.)]]</f>
        <v>25900</v>
      </c>
      <c r="I94" s="27">
        <v>45044.520486111112</v>
      </c>
      <c r="J9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9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95" spans="1:11" ht="30" x14ac:dyDescent="0.25">
      <c r="A95" s="2">
        <f t="shared" si="1"/>
        <v>94</v>
      </c>
      <c r="B95" s="5" t="s">
        <v>134</v>
      </c>
      <c r="C95" s="26"/>
      <c r="D95" s="3">
        <v>1</v>
      </c>
      <c r="E95" s="4"/>
      <c r="F95" s="23">
        <f>Таблица1[[#This Row],[Цена поступления (руб. за шт.)]]*Таблица1[[#This Row],[На остатке (шт.)]]</f>
        <v>0</v>
      </c>
      <c r="G95" s="4">
        <v>3900</v>
      </c>
      <c r="H95" s="23">
        <f>Таблица1[[#This Row],[Цена реализации (руб. за шт.)]]*Таблица1[[#This Row],[На остатке (шт.)]]</f>
        <v>3900</v>
      </c>
      <c r="I95" s="27">
        <v>45050.496481481481</v>
      </c>
      <c r="J9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9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96" spans="1:11" ht="30" x14ac:dyDescent="0.25">
      <c r="A96" s="2">
        <f t="shared" si="1"/>
        <v>95</v>
      </c>
      <c r="B96" s="5" t="s">
        <v>231</v>
      </c>
      <c r="C96" s="26"/>
      <c r="D96" s="3">
        <v>1</v>
      </c>
      <c r="E96" s="4"/>
      <c r="F96" s="23">
        <f>Таблица1[[#This Row],[Цена поступления (руб. за шт.)]]*Таблица1[[#This Row],[На остатке (шт.)]]</f>
        <v>0</v>
      </c>
      <c r="G96" s="4">
        <v>15900</v>
      </c>
      <c r="H96" s="23">
        <f>Таблица1[[#This Row],[Цена реализации (руб. за шт.)]]*Таблица1[[#This Row],[На остатке (шт.)]]</f>
        <v>15900</v>
      </c>
      <c r="I96" s="27">
        <v>45050.494537037041</v>
      </c>
      <c r="J9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9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97" spans="1:11" ht="30" x14ac:dyDescent="0.25">
      <c r="A97" s="2">
        <f t="shared" si="1"/>
        <v>96</v>
      </c>
      <c r="B97" s="5" t="s">
        <v>110</v>
      </c>
      <c r="C97" s="26"/>
      <c r="D97" s="3">
        <v>1</v>
      </c>
      <c r="E97" s="4"/>
      <c r="F97" s="23">
        <f>Таблица1[[#This Row],[Цена поступления (руб. за шт.)]]*Таблица1[[#This Row],[На остатке (шт.)]]</f>
        <v>0</v>
      </c>
      <c r="G97" s="4">
        <v>7200</v>
      </c>
      <c r="H97" s="23">
        <f>Таблица1[[#This Row],[Цена реализации (руб. за шт.)]]*Таблица1[[#This Row],[На остатке (шт.)]]</f>
        <v>7200</v>
      </c>
      <c r="I97" s="27">
        <v>45043.688969907409</v>
      </c>
      <c r="J9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9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98" spans="1:11" ht="30" x14ac:dyDescent="0.25">
      <c r="A98" s="2">
        <f t="shared" si="1"/>
        <v>97</v>
      </c>
      <c r="B98" s="5" t="s">
        <v>112</v>
      </c>
      <c r="C98" s="26"/>
      <c r="D98" s="3">
        <v>0</v>
      </c>
      <c r="E98" s="4"/>
      <c r="F98" s="23">
        <f>Таблица1[[#This Row],[Цена поступления (руб. за шт.)]]*Таблица1[[#This Row],[На остатке (шт.)]]</f>
        <v>0</v>
      </c>
      <c r="G98" s="4">
        <v>5800</v>
      </c>
      <c r="H98" s="23">
        <f>Таблица1[[#This Row],[Цена реализации (руб. за шт.)]]*Таблица1[[#This Row],[На остатке (шт.)]]</f>
        <v>0</v>
      </c>
      <c r="I98" s="27">
        <v>45062.410879629628</v>
      </c>
      <c r="J9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9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99" spans="1:11" x14ac:dyDescent="0.25">
      <c r="A99" s="2">
        <f t="shared" si="1"/>
        <v>98</v>
      </c>
      <c r="B99" s="5" t="s">
        <v>115</v>
      </c>
      <c r="C99" s="26"/>
      <c r="D99" s="3">
        <v>1</v>
      </c>
      <c r="E99" s="4"/>
      <c r="F99" s="23">
        <f>Таблица1[[#This Row],[Цена поступления (руб. за шт.)]]*Таблица1[[#This Row],[На остатке (шт.)]]</f>
        <v>0</v>
      </c>
      <c r="G99" s="4">
        <v>5500</v>
      </c>
      <c r="H99" s="23">
        <f>Таблица1[[#This Row],[Цена реализации (руб. за шт.)]]*Таблица1[[#This Row],[На остатке (шт.)]]</f>
        <v>5500</v>
      </c>
      <c r="I99" s="27">
        <v>45043.703564814816</v>
      </c>
      <c r="J9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9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00" spans="1:11" ht="30" x14ac:dyDescent="0.25">
      <c r="A100" s="2">
        <f t="shared" si="1"/>
        <v>99</v>
      </c>
      <c r="B100" s="5" t="s">
        <v>117</v>
      </c>
      <c r="C100" s="26"/>
      <c r="D100" s="3">
        <v>1</v>
      </c>
      <c r="E100" s="4"/>
      <c r="F100" s="23">
        <f>Таблица1[[#This Row],[Цена поступления (руб. за шт.)]]*Таблица1[[#This Row],[На остатке (шт.)]]</f>
        <v>0</v>
      </c>
      <c r="G100" s="4">
        <v>6500</v>
      </c>
      <c r="H100" s="23">
        <f>Таблица1[[#This Row],[Цена реализации (руб. за шт.)]]*Таблица1[[#This Row],[На остатке (шт.)]]</f>
        <v>6500</v>
      </c>
      <c r="I100" s="27">
        <v>45043.714363425926</v>
      </c>
      <c r="J10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0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01" spans="1:11" ht="30" x14ac:dyDescent="0.25">
      <c r="A101" s="2">
        <f t="shared" si="1"/>
        <v>100</v>
      </c>
      <c r="B101" s="5" t="s">
        <v>170</v>
      </c>
      <c r="C101" s="26"/>
      <c r="D101" s="3">
        <v>1</v>
      </c>
      <c r="E101" s="4"/>
      <c r="F101" s="23">
        <f>Таблица1[[#This Row],[Цена поступления (руб. за шт.)]]*Таблица1[[#This Row],[На остатке (шт.)]]</f>
        <v>0</v>
      </c>
      <c r="G101" s="4">
        <v>4850</v>
      </c>
      <c r="H101" s="23">
        <f>Таблица1[[#This Row],[Цена реализации (руб. за шт.)]]*Таблица1[[#This Row],[На остатке (шт.)]]</f>
        <v>4850</v>
      </c>
      <c r="I101" s="27">
        <v>45045.510636574072</v>
      </c>
      <c r="J10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0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02" spans="1:11" ht="30" x14ac:dyDescent="0.25">
      <c r="A102" s="2">
        <f t="shared" si="1"/>
        <v>101</v>
      </c>
      <c r="B102" s="5" t="s">
        <v>171</v>
      </c>
      <c r="C102" s="26"/>
      <c r="D102" s="3">
        <v>1</v>
      </c>
      <c r="E102" s="4"/>
      <c r="F102" s="23">
        <f>Таблица1[[#This Row],[Цена поступления (руб. за шт.)]]*Таблица1[[#This Row],[На остатке (шт.)]]</f>
        <v>0</v>
      </c>
      <c r="G102" s="4">
        <v>4900</v>
      </c>
      <c r="H102" s="23">
        <f>Таблица1[[#This Row],[Цена реализации (руб. за шт.)]]*Таблица1[[#This Row],[На остатке (шт.)]]</f>
        <v>4900</v>
      </c>
      <c r="I102" s="27">
        <v>45045.511793981481</v>
      </c>
      <c r="J10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0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03" spans="1:11" ht="30" x14ac:dyDescent="0.25">
      <c r="A103" s="2">
        <f t="shared" si="1"/>
        <v>102</v>
      </c>
      <c r="B103" s="5" t="s">
        <v>172</v>
      </c>
      <c r="C103" s="26"/>
      <c r="D103" s="3">
        <v>1</v>
      </c>
      <c r="E103" s="4"/>
      <c r="F103" s="23">
        <f>Таблица1[[#This Row],[Цена поступления (руб. за шт.)]]*Таблица1[[#This Row],[На остатке (шт.)]]</f>
        <v>0</v>
      </c>
      <c r="G103" s="4">
        <v>4190</v>
      </c>
      <c r="H103" s="23">
        <f>Таблица1[[#This Row],[Цена реализации (руб. за шт.)]]*Таблица1[[#This Row],[На остатке (шт.)]]</f>
        <v>4190</v>
      </c>
      <c r="I103" s="27">
        <v>45045.513194444444</v>
      </c>
      <c r="J10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0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04" spans="1:11" ht="30" x14ac:dyDescent="0.25">
      <c r="A104" s="2">
        <f t="shared" si="1"/>
        <v>103</v>
      </c>
      <c r="B104" s="5" t="s">
        <v>58</v>
      </c>
      <c r="C104" s="26"/>
      <c r="D104" s="3">
        <v>1</v>
      </c>
      <c r="E104" s="4"/>
      <c r="F104" s="23">
        <f>Таблица1[[#This Row],[Цена поступления (руб. за шт.)]]*Таблица1[[#This Row],[На остатке (шт.)]]</f>
        <v>0</v>
      </c>
      <c r="G104" s="4">
        <v>8100</v>
      </c>
      <c r="H104" s="23">
        <f>Таблица1[[#This Row],[Цена реализации (руб. за шт.)]]*Таблица1[[#This Row],[На остатке (шт.)]]</f>
        <v>8100</v>
      </c>
      <c r="I104" s="27">
        <v>45045.588935185187</v>
      </c>
      <c r="J10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0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05" spans="1:11" ht="30" x14ac:dyDescent="0.25">
      <c r="A105" s="2">
        <f t="shared" si="1"/>
        <v>104</v>
      </c>
      <c r="B105" s="5" t="s">
        <v>57</v>
      </c>
      <c r="C105" s="26"/>
      <c r="D105" s="3">
        <v>2</v>
      </c>
      <c r="E105" s="4"/>
      <c r="F105" s="23">
        <f>Таблица1[[#This Row],[Цена поступления (руб. за шт.)]]*Таблица1[[#This Row],[На остатке (шт.)]]</f>
        <v>0</v>
      </c>
      <c r="G105" s="4">
        <v>7800</v>
      </c>
      <c r="H105" s="23">
        <f>Таблица1[[#This Row],[Цена реализации (руб. за шт.)]]*Таблица1[[#This Row],[На остатке (шт.)]]</f>
        <v>15600</v>
      </c>
      <c r="I105" s="27">
        <v>45052.591724537036</v>
      </c>
      <c r="J10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0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06" spans="1:11" ht="30" x14ac:dyDescent="0.25">
      <c r="A106" s="2">
        <f t="shared" si="1"/>
        <v>105</v>
      </c>
      <c r="B106" s="5" t="s">
        <v>56</v>
      </c>
      <c r="C106" s="26"/>
      <c r="D106" s="3">
        <v>1</v>
      </c>
      <c r="E106" s="4"/>
      <c r="F106" s="23">
        <f>Таблица1[[#This Row],[Цена поступления (руб. за шт.)]]*Таблица1[[#This Row],[На остатке (шт.)]]</f>
        <v>0</v>
      </c>
      <c r="G106" s="4">
        <v>9600</v>
      </c>
      <c r="H106" s="23">
        <f>Таблица1[[#This Row],[Цена реализации (руб. за шт.)]]*Таблица1[[#This Row],[На остатке (шт.)]]</f>
        <v>9600</v>
      </c>
      <c r="I106" s="27">
        <v>45043.595590277779</v>
      </c>
      <c r="J10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0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07" spans="1:11" ht="30" x14ac:dyDescent="0.25">
      <c r="A107" s="2">
        <f t="shared" si="1"/>
        <v>106</v>
      </c>
      <c r="B107" s="5" t="s">
        <v>55</v>
      </c>
      <c r="C107" s="26"/>
      <c r="D107" s="3">
        <v>1</v>
      </c>
      <c r="E107" s="4"/>
      <c r="F107" s="23">
        <f>Таблица1[[#This Row],[Цена поступления (руб. за шт.)]]*Таблица1[[#This Row],[На остатке (шт.)]]</f>
        <v>0</v>
      </c>
      <c r="G107" s="4">
        <v>11400</v>
      </c>
      <c r="H107" s="23">
        <f>Таблица1[[#This Row],[Цена реализации (руб. за шт.)]]*Таблица1[[#This Row],[На остатке (шт.)]]</f>
        <v>11400</v>
      </c>
      <c r="I107" s="27">
        <v>45043.595659722225</v>
      </c>
      <c r="J10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0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08" spans="1:11" ht="30" x14ac:dyDescent="0.25">
      <c r="A108" s="2">
        <f t="shared" si="1"/>
        <v>107</v>
      </c>
      <c r="B108" s="5" t="s">
        <v>46</v>
      </c>
      <c r="C108" s="26"/>
      <c r="D108" s="3">
        <v>1</v>
      </c>
      <c r="E108" s="4"/>
      <c r="F108" s="23">
        <f>Таблица1[[#This Row],[Цена поступления (руб. за шт.)]]*Таблица1[[#This Row],[На остатке (шт.)]]</f>
        <v>0</v>
      </c>
      <c r="G108" s="4">
        <v>16990</v>
      </c>
      <c r="H108" s="23">
        <f>Таблица1[[#This Row],[Цена реализации (руб. за шт.)]]*Таблица1[[#This Row],[На остатке (шт.)]]</f>
        <v>16990</v>
      </c>
      <c r="I108" s="27">
        <v>45043.595208333332</v>
      </c>
      <c r="J10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0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09" spans="1:11" ht="30" x14ac:dyDescent="0.25">
      <c r="A109" s="2">
        <f t="shared" si="1"/>
        <v>108</v>
      </c>
      <c r="B109" s="5" t="s">
        <v>107</v>
      </c>
      <c r="C109" s="26"/>
      <c r="D109" s="3">
        <v>1</v>
      </c>
      <c r="E109" s="4"/>
      <c r="F109" s="23">
        <f>Таблица1[[#This Row],[Цена поступления (руб. за шт.)]]*Таблица1[[#This Row],[На остатке (шт.)]]</f>
        <v>0</v>
      </c>
      <c r="G109" s="4">
        <v>35000</v>
      </c>
      <c r="H109" s="23">
        <f>Таблица1[[#This Row],[Цена реализации (руб. за шт.)]]*Таблица1[[#This Row],[На остатке (шт.)]]</f>
        <v>35000</v>
      </c>
      <c r="I109" s="27">
        <v>45043.670370370368</v>
      </c>
      <c r="J10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0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10" spans="1:11" ht="30" x14ac:dyDescent="0.25">
      <c r="A110" s="2">
        <f t="shared" si="1"/>
        <v>109</v>
      </c>
      <c r="B110" s="5" t="s">
        <v>188</v>
      </c>
      <c r="C110" s="26"/>
      <c r="D110" s="3">
        <v>1</v>
      </c>
      <c r="E110" s="4"/>
      <c r="F110" s="23">
        <f>Таблица1[[#This Row],[Цена поступления (руб. за шт.)]]*Таблица1[[#This Row],[На остатке (шт.)]]</f>
        <v>0</v>
      </c>
      <c r="G110" s="4">
        <v>3700</v>
      </c>
      <c r="H110" s="23">
        <f>Таблица1[[#This Row],[Цена реализации (руб. за шт.)]]*Таблица1[[#This Row],[На остатке (шт.)]]</f>
        <v>3700</v>
      </c>
      <c r="I110" s="27">
        <v>45045.626215277778</v>
      </c>
      <c r="J11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1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11" spans="1:11" ht="30" x14ac:dyDescent="0.25">
      <c r="A111" s="2">
        <f t="shared" si="1"/>
        <v>110</v>
      </c>
      <c r="B111" s="5" t="s">
        <v>191</v>
      </c>
      <c r="C111" s="26"/>
      <c r="D111" s="3">
        <v>1</v>
      </c>
      <c r="E111" s="4"/>
      <c r="F111" s="23">
        <f>Таблица1[[#This Row],[Цена поступления (руб. за шт.)]]*Таблица1[[#This Row],[На остатке (шт.)]]</f>
        <v>0</v>
      </c>
      <c r="G111" s="4">
        <v>3400</v>
      </c>
      <c r="H111" s="23">
        <f>Таблица1[[#This Row],[Цена реализации (руб. за шт.)]]*Таблица1[[#This Row],[На остатке (шт.)]]</f>
        <v>3400</v>
      </c>
      <c r="I111" s="27">
        <v>45045.632708333331</v>
      </c>
      <c r="J11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1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12" spans="1:11" ht="30" x14ac:dyDescent="0.25">
      <c r="A112" s="2">
        <f t="shared" si="1"/>
        <v>111</v>
      </c>
      <c r="B112" s="5" t="s">
        <v>188</v>
      </c>
      <c r="C112" s="26"/>
      <c r="D112" s="3">
        <v>1</v>
      </c>
      <c r="E112" s="4"/>
      <c r="F112" s="23">
        <f>Таблица1[[#This Row],[Цена поступления (руб. за шт.)]]*Таблица1[[#This Row],[На остатке (шт.)]]</f>
        <v>0</v>
      </c>
      <c r="G112" s="4">
        <v>7200</v>
      </c>
      <c r="H112" s="23">
        <f>Таблица1[[#This Row],[Цена реализации (руб. за шт.)]]*Таблица1[[#This Row],[На остатке (шт.)]]</f>
        <v>7200</v>
      </c>
      <c r="I112" s="27">
        <v>45045.627592592595</v>
      </c>
      <c r="J11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1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13" spans="1:11" ht="30" x14ac:dyDescent="0.25">
      <c r="A113" s="2">
        <f t="shared" si="1"/>
        <v>112</v>
      </c>
      <c r="B113" s="5" t="s">
        <v>190</v>
      </c>
      <c r="C113" s="26"/>
      <c r="D113" s="3">
        <v>0</v>
      </c>
      <c r="E113" s="4"/>
      <c r="F113" s="23">
        <f>Таблица1[[#This Row],[Цена поступления (руб. за шт.)]]*Таблица1[[#This Row],[На остатке (шт.)]]</f>
        <v>0</v>
      </c>
      <c r="G113" s="4">
        <v>4750</v>
      </c>
      <c r="H113" s="23">
        <f>Таблица1[[#This Row],[Цена реализации (руб. за шт.)]]*Таблица1[[#This Row],[На остатке (шт.)]]</f>
        <v>0</v>
      </c>
      <c r="I113" s="27">
        <v>45045.65148148148</v>
      </c>
      <c r="J11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1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14" spans="1:11" ht="30" x14ac:dyDescent="0.25">
      <c r="A114" s="2">
        <f t="shared" si="1"/>
        <v>113</v>
      </c>
      <c r="B114" s="5" t="s">
        <v>51</v>
      </c>
      <c r="C114" s="26"/>
      <c r="D114" s="3">
        <v>1</v>
      </c>
      <c r="E114" s="4"/>
      <c r="F114" s="23">
        <f>Таблица1[[#This Row],[Цена поступления (руб. за шт.)]]*Таблица1[[#This Row],[На остатке (шт.)]]</f>
        <v>0</v>
      </c>
      <c r="G114" s="4">
        <v>11500</v>
      </c>
      <c r="H114" s="23">
        <f>Таблица1[[#This Row],[Цена реализации (руб. за шт.)]]*Таблица1[[#This Row],[На остатке (шт.)]]</f>
        <v>11500</v>
      </c>
      <c r="I114" s="27">
        <v>45043.595231481479</v>
      </c>
      <c r="J11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1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15" spans="1:11" ht="30" x14ac:dyDescent="0.25">
      <c r="A115" s="2">
        <f t="shared" si="1"/>
        <v>114</v>
      </c>
      <c r="B115" s="5" t="s">
        <v>201</v>
      </c>
      <c r="C115" s="26"/>
      <c r="D115" s="3">
        <v>1</v>
      </c>
      <c r="E115" s="4">
        <v>7650</v>
      </c>
      <c r="F115" s="23">
        <f>Таблица1[[#This Row],[Цена поступления (руб. за шт.)]]*Таблица1[[#This Row],[На остатке (шт.)]]</f>
        <v>7650</v>
      </c>
      <c r="G115" s="4">
        <v>10650</v>
      </c>
      <c r="H115" s="23">
        <f>Таблица1[[#This Row],[Цена реализации (руб. за шт.)]]*Таблица1[[#This Row],[На остатке (шт.)]]</f>
        <v>10650</v>
      </c>
      <c r="I115" s="27">
        <v>45049.468206018515</v>
      </c>
      <c r="J11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0.28169014084507044</v>
      </c>
      <c r="K11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0.39215686274509803</v>
      </c>
    </row>
    <row r="116" spans="1:11" ht="30" x14ac:dyDescent="0.25">
      <c r="A116" s="2">
        <f t="shared" si="1"/>
        <v>115</v>
      </c>
      <c r="B116" s="5" t="s">
        <v>203</v>
      </c>
      <c r="C116" s="26"/>
      <c r="D116" s="3">
        <v>2</v>
      </c>
      <c r="E116" s="4">
        <v>8050</v>
      </c>
      <c r="F116" s="23">
        <f>Таблица1[[#This Row],[Цена поступления (руб. за шт.)]]*Таблица1[[#This Row],[На остатке (шт.)]]</f>
        <v>16100</v>
      </c>
      <c r="G116" s="4">
        <v>11100</v>
      </c>
      <c r="H116" s="23">
        <f>Таблица1[[#This Row],[Цена реализации (руб. за шт.)]]*Таблица1[[#This Row],[На остатке (шт.)]]</f>
        <v>22200</v>
      </c>
      <c r="I116" s="27">
        <v>45050.490752314814</v>
      </c>
      <c r="J116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0.2747747747747748</v>
      </c>
      <c r="K116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0.37888198757763975</v>
      </c>
    </row>
    <row r="117" spans="1:11" ht="30" x14ac:dyDescent="0.25">
      <c r="A117" s="2">
        <f t="shared" si="1"/>
        <v>116</v>
      </c>
      <c r="B117" s="5" t="s">
        <v>204</v>
      </c>
      <c r="C117" s="26"/>
      <c r="D117" s="3">
        <v>2</v>
      </c>
      <c r="E117" s="4">
        <v>8300</v>
      </c>
      <c r="F117" s="23">
        <f>Таблица1[[#This Row],[Цена поступления (руб. за шт.)]]*Таблица1[[#This Row],[На остатке (шт.)]]</f>
        <v>16600</v>
      </c>
      <c r="G117" s="4">
        <v>11500</v>
      </c>
      <c r="H117" s="23">
        <f>Таблица1[[#This Row],[Цена реализации (руб. за шт.)]]*Таблица1[[#This Row],[На остатке (шт.)]]</f>
        <v>23000</v>
      </c>
      <c r="I117" s="27">
        <v>45050.490613425929</v>
      </c>
      <c r="J11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0.27826086956521739</v>
      </c>
      <c r="K11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0.38554216867469882</v>
      </c>
    </row>
    <row r="118" spans="1:11" ht="18.75" customHeight="1" x14ac:dyDescent="0.25">
      <c r="A118" s="2">
        <f t="shared" si="1"/>
        <v>117</v>
      </c>
      <c r="B118" s="5" t="s">
        <v>200</v>
      </c>
      <c r="C118" s="26"/>
      <c r="D118" s="3">
        <v>1</v>
      </c>
      <c r="E118" s="4"/>
      <c r="F118" s="23">
        <f>Таблица1[[#This Row],[Цена поступления (руб. за шт.)]]*Таблица1[[#This Row],[На остатке (шт.)]]</f>
        <v>0</v>
      </c>
      <c r="G118" s="4">
        <v>6500</v>
      </c>
      <c r="H118" s="23">
        <f>Таблица1[[#This Row],[Цена реализации (руб. за шт.)]]*Таблица1[[#This Row],[На остатке (шт.)]]</f>
        <v>6500</v>
      </c>
      <c r="I118" s="27">
        <v>45059.700821759259</v>
      </c>
      <c r="J11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1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19" spans="1:11" ht="30" x14ac:dyDescent="0.25">
      <c r="A119" s="2">
        <f t="shared" si="1"/>
        <v>118</v>
      </c>
      <c r="B119" s="5" t="s">
        <v>276</v>
      </c>
      <c r="C119" s="26"/>
      <c r="D119" s="3">
        <v>1</v>
      </c>
      <c r="E119" s="4">
        <v>7250</v>
      </c>
      <c r="F119" s="23">
        <f>Таблица1[[#This Row],[Цена поступления (руб. за шт.)]]*Таблица1[[#This Row],[На остатке (шт.)]]</f>
        <v>7250</v>
      </c>
      <c r="G119" s="4">
        <v>10650</v>
      </c>
      <c r="H119" s="23">
        <f>Таблица1[[#This Row],[Цена реализации (руб. за шт.)]]*Таблица1[[#This Row],[На остатке (шт.)]]</f>
        <v>10650</v>
      </c>
      <c r="I119" s="27">
        <v>45056.474618055552</v>
      </c>
      <c r="J11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0.31924882629107981</v>
      </c>
      <c r="K11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0.4689655172413793</v>
      </c>
    </row>
    <row r="120" spans="1:11" ht="30" x14ac:dyDescent="0.25">
      <c r="A120" s="2">
        <f t="shared" si="1"/>
        <v>119</v>
      </c>
      <c r="B120" s="5" t="s">
        <v>53</v>
      </c>
      <c r="C120" s="26"/>
      <c r="D120" s="3">
        <v>1</v>
      </c>
      <c r="E120" s="4"/>
      <c r="F120" s="23">
        <f>Таблица1[[#This Row],[Цена поступления (руб. за шт.)]]*Таблица1[[#This Row],[На остатке (шт.)]]</f>
        <v>0</v>
      </c>
      <c r="G120" s="4">
        <v>10300</v>
      </c>
      <c r="H120" s="23">
        <f>Таблица1[[#This Row],[Цена реализации (руб. за шт.)]]*Таблица1[[#This Row],[На остатке (шт.)]]</f>
        <v>10300</v>
      </c>
      <c r="I120" s="27">
        <v>45043.595300925925</v>
      </c>
      <c r="J12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2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21" spans="1:11" ht="30" x14ac:dyDescent="0.25">
      <c r="A121" s="2">
        <f t="shared" si="1"/>
        <v>120</v>
      </c>
      <c r="B121" s="5" t="s">
        <v>54</v>
      </c>
      <c r="C121" s="26"/>
      <c r="D121" s="3">
        <v>1</v>
      </c>
      <c r="E121" s="4"/>
      <c r="F121" s="23">
        <f>Таблица1[[#This Row],[Цена поступления (руб. за шт.)]]*Таблица1[[#This Row],[На остатке (шт.)]]</f>
        <v>0</v>
      </c>
      <c r="G121" s="4">
        <v>7600</v>
      </c>
      <c r="H121" s="23">
        <f>Таблица1[[#This Row],[Цена реализации (руб. за шт.)]]*Таблица1[[#This Row],[На остатке (шт.)]]</f>
        <v>7600</v>
      </c>
      <c r="I121" s="27">
        <v>45043.595335648148</v>
      </c>
      <c r="J12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2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22" spans="1:11" ht="30" x14ac:dyDescent="0.25">
      <c r="A122" s="2">
        <f t="shared" si="1"/>
        <v>121</v>
      </c>
      <c r="B122" s="5" t="s">
        <v>54</v>
      </c>
      <c r="C122" s="26"/>
      <c r="D122" s="3">
        <v>1</v>
      </c>
      <c r="E122" s="4"/>
      <c r="F122" s="23">
        <f>Таблица1[[#This Row],[Цена поступления (руб. за шт.)]]*Таблица1[[#This Row],[На остатке (шт.)]]</f>
        <v>0</v>
      </c>
      <c r="G122" s="4">
        <v>11000</v>
      </c>
      <c r="H122" s="23">
        <f>Таблица1[[#This Row],[Цена реализации (руб. за шт.)]]*Таблица1[[#This Row],[На остатке (шт.)]]</f>
        <v>11000</v>
      </c>
      <c r="I122" s="27">
        <v>45043.595370370371</v>
      </c>
      <c r="J12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2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23" spans="1:11" ht="30" x14ac:dyDescent="0.25">
      <c r="A123" s="2">
        <f t="shared" si="1"/>
        <v>122</v>
      </c>
      <c r="B123" s="5" t="s">
        <v>49</v>
      </c>
      <c r="C123" s="26"/>
      <c r="D123" s="3">
        <v>0</v>
      </c>
      <c r="E123" s="4"/>
      <c r="F123" s="23">
        <f>Таблица1[[#This Row],[Цена поступления (руб. за шт.)]]*Таблица1[[#This Row],[На остатке (шт.)]]</f>
        <v>0</v>
      </c>
      <c r="G123" s="4">
        <v>6700</v>
      </c>
      <c r="H123" s="23">
        <f>Таблица1[[#This Row],[Цена реализации (руб. за шт.)]]*Таблица1[[#This Row],[На остатке (шт.)]]</f>
        <v>0</v>
      </c>
      <c r="I123" s="27">
        <v>45062.747141203705</v>
      </c>
      <c r="J12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2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24" spans="1:11" ht="30" x14ac:dyDescent="0.25">
      <c r="A124" s="2">
        <f t="shared" si="1"/>
        <v>123</v>
      </c>
      <c r="B124" s="5" t="s">
        <v>52</v>
      </c>
      <c r="C124" s="26"/>
      <c r="D124" s="3">
        <v>6</v>
      </c>
      <c r="E124" s="4"/>
      <c r="F124" s="23">
        <f>Таблица1[[#This Row],[Цена поступления (руб. за шт.)]]*Таблица1[[#This Row],[На остатке (шт.)]]</f>
        <v>0</v>
      </c>
      <c r="G124" s="4">
        <v>9900</v>
      </c>
      <c r="H124" s="23">
        <f>Таблица1[[#This Row],[Цена реализации (руб. за шт.)]]*Таблица1[[#This Row],[На остатке (шт.)]]</f>
        <v>59400</v>
      </c>
      <c r="I124" s="27">
        <v>45058.455092592594</v>
      </c>
      <c r="J12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2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25" spans="1:11" ht="30" x14ac:dyDescent="0.25">
      <c r="A125" s="2">
        <f t="shared" si="1"/>
        <v>124</v>
      </c>
      <c r="B125" s="5" t="s">
        <v>106</v>
      </c>
      <c r="C125" s="26"/>
      <c r="D125" s="3">
        <v>2</v>
      </c>
      <c r="E125" s="4"/>
      <c r="F125" s="23">
        <f>Таблица1[[#This Row],[Цена поступления (руб. за шт.)]]*Таблица1[[#This Row],[На остатке (шт.)]]</f>
        <v>0</v>
      </c>
      <c r="G125" s="4">
        <v>9900</v>
      </c>
      <c r="H125" s="23">
        <f>Таблица1[[#This Row],[Цена реализации (руб. за шт.)]]*Таблица1[[#This Row],[На остатке (шт.)]]</f>
        <v>19800</v>
      </c>
      <c r="I125" s="27">
        <v>45059.69976851852</v>
      </c>
      <c r="J12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2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26" spans="1:11" ht="30" x14ac:dyDescent="0.25">
      <c r="A126" s="2">
        <f t="shared" si="1"/>
        <v>125</v>
      </c>
      <c r="B126" s="5" t="s">
        <v>319</v>
      </c>
      <c r="C126" s="26"/>
      <c r="D126" s="3">
        <v>0</v>
      </c>
      <c r="E126" s="4"/>
      <c r="F126" s="23">
        <f>Таблица1[[#This Row],[Цена поступления (руб. за шт.)]]*Таблица1[[#This Row],[На остатке (шт.)]]</f>
        <v>0</v>
      </c>
      <c r="G126" s="4">
        <v>11000</v>
      </c>
      <c r="H126" s="23">
        <f>Таблица1[[#This Row],[Цена реализации (руб. за шт.)]]*Таблица1[[#This Row],[На остатке (шт.)]]</f>
        <v>0</v>
      </c>
      <c r="I126" s="27">
        <v>45059.705081018517</v>
      </c>
      <c r="J12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2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27" spans="1:11" ht="30" x14ac:dyDescent="0.25">
      <c r="A127" s="2">
        <f t="shared" si="1"/>
        <v>126</v>
      </c>
      <c r="B127" s="5" t="s">
        <v>318</v>
      </c>
      <c r="C127" s="26"/>
      <c r="D127" s="3">
        <v>0</v>
      </c>
      <c r="E127" s="4"/>
      <c r="F127" s="23">
        <f>Таблица1[[#This Row],[Цена поступления (руб. за шт.)]]*Таблица1[[#This Row],[На остатке (шт.)]]</f>
        <v>0</v>
      </c>
      <c r="G127" s="4">
        <v>11000</v>
      </c>
      <c r="H127" s="23">
        <f>Таблица1[[#This Row],[Цена реализации (руб. за шт.)]]*Таблица1[[#This Row],[На остатке (шт.)]]</f>
        <v>0</v>
      </c>
      <c r="I127" s="27">
        <v>45062.743587962963</v>
      </c>
      <c r="J12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2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28" spans="1:11" ht="30" x14ac:dyDescent="0.25">
      <c r="A128" s="2">
        <f t="shared" si="1"/>
        <v>127</v>
      </c>
      <c r="B128" s="5" t="s">
        <v>202</v>
      </c>
      <c r="C128" s="26"/>
      <c r="D128" s="3">
        <v>0</v>
      </c>
      <c r="E128" s="4">
        <v>11700</v>
      </c>
      <c r="F128" s="23">
        <f>Таблица1[[#This Row],[Цена поступления (руб. за шт.)]]*Таблица1[[#This Row],[На остатке (шт.)]]</f>
        <v>0</v>
      </c>
      <c r="G128" s="4">
        <v>15300</v>
      </c>
      <c r="H128" s="23">
        <f>Таблица1[[#This Row],[Цена реализации (руб. за шт.)]]*Таблица1[[#This Row],[На остатке (шт.)]]</f>
        <v>0</v>
      </c>
      <c r="I128" s="27">
        <v>45062.743449074071</v>
      </c>
      <c r="J12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0.23529411764705882</v>
      </c>
      <c r="K12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0.30769230769230771</v>
      </c>
    </row>
    <row r="129" spans="1:11" ht="30" x14ac:dyDescent="0.25">
      <c r="A129" s="2">
        <f t="shared" si="1"/>
        <v>128</v>
      </c>
      <c r="B129" s="5" t="s">
        <v>50</v>
      </c>
      <c r="C129" s="26"/>
      <c r="D129" s="3">
        <v>15</v>
      </c>
      <c r="E129" s="4">
        <v>3700</v>
      </c>
      <c r="F129" s="23">
        <f>Таблица1[[#This Row],[Цена поступления (руб. за шт.)]]*Таблица1[[#This Row],[На остатке (шт.)]]</f>
        <v>55500</v>
      </c>
      <c r="G129" s="4">
        <v>5900</v>
      </c>
      <c r="H129" s="23">
        <f>Таблица1[[#This Row],[Цена реализации (руб. за шт.)]]*Таблица1[[#This Row],[На остатке (шт.)]]</f>
        <v>88500</v>
      </c>
      <c r="I129" s="27">
        <v>45062.74082175926</v>
      </c>
      <c r="J12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0.3728813559322034</v>
      </c>
      <c r="K12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0.59459459459459463</v>
      </c>
    </row>
    <row r="130" spans="1:11" ht="30" x14ac:dyDescent="0.25">
      <c r="A130" s="2">
        <f t="shared" si="1"/>
        <v>129</v>
      </c>
      <c r="B130" s="5" t="s">
        <v>235</v>
      </c>
      <c r="C130" s="26"/>
      <c r="D130" s="3">
        <v>6</v>
      </c>
      <c r="E130" s="4">
        <v>3500</v>
      </c>
      <c r="F130" s="23">
        <f>Таблица1[[#This Row],[Цена поступления (руб. за шт.)]]*Таблица1[[#This Row],[На остатке (шт.)]]</f>
        <v>21000</v>
      </c>
      <c r="G130" s="4">
        <v>5700</v>
      </c>
      <c r="H130" s="23">
        <f>Таблица1[[#This Row],[Цена реализации (руб. за шт.)]]*Таблица1[[#This Row],[На остатке (шт.)]]</f>
        <v>34200</v>
      </c>
      <c r="I130" s="27">
        <v>45062.410115740742</v>
      </c>
      <c r="J13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0.38596491228070173</v>
      </c>
      <c r="K13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0.62857142857142856</v>
      </c>
    </row>
    <row r="131" spans="1:11" ht="21" customHeight="1" x14ac:dyDescent="0.25">
      <c r="A131" s="2">
        <f t="shared" si="1"/>
        <v>130</v>
      </c>
      <c r="B131" s="5" t="s">
        <v>247</v>
      </c>
      <c r="C131" s="26"/>
      <c r="D131" s="3">
        <v>1</v>
      </c>
      <c r="E131" s="4">
        <v>4915.5</v>
      </c>
      <c r="F131" s="23">
        <f>Таблица1[[#This Row],[Цена поступления (руб. за шт.)]]*Таблица1[[#This Row],[На остатке (шт.)]]</f>
        <v>4915.5</v>
      </c>
      <c r="G131" s="4">
        <v>7900</v>
      </c>
      <c r="H131" s="23">
        <f>Таблица1[[#This Row],[Цена реализации (руб. за шт.)]]*Таблица1[[#This Row],[На остатке (шт.)]]</f>
        <v>7900</v>
      </c>
      <c r="I131" s="27">
        <v>45058.70758101852</v>
      </c>
      <c r="J13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0.37778481012658227</v>
      </c>
      <c r="K13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0.60716102125928184</v>
      </c>
    </row>
    <row r="132" spans="1:11" ht="15.75" customHeight="1" x14ac:dyDescent="0.25">
      <c r="A132" s="2">
        <f t="shared" si="1"/>
        <v>131</v>
      </c>
      <c r="B132" s="5" t="s">
        <v>248</v>
      </c>
      <c r="C132" s="26"/>
      <c r="D132" s="3">
        <v>0</v>
      </c>
      <c r="E132" s="4">
        <v>4994</v>
      </c>
      <c r="F132" s="23">
        <f>Таблица1[[#This Row],[Цена поступления (руб. за шт.)]]*Таблица1[[#This Row],[На остатке (шт.)]]</f>
        <v>0</v>
      </c>
      <c r="G132" s="4">
        <v>8200</v>
      </c>
      <c r="H132" s="23">
        <f>Таблица1[[#This Row],[Цена реализации (руб. за шт.)]]*Таблица1[[#This Row],[На остатке (шт.)]]</f>
        <v>0</v>
      </c>
      <c r="I132" s="27">
        <v>45059.71806712963</v>
      </c>
      <c r="J13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0.39097560975609758</v>
      </c>
      <c r="K13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0.6419703644373248</v>
      </c>
    </row>
    <row r="133" spans="1:11" ht="60" x14ac:dyDescent="0.25">
      <c r="A133" s="2">
        <f t="shared" si="1"/>
        <v>132</v>
      </c>
      <c r="B133" s="5" t="s">
        <v>118</v>
      </c>
      <c r="C133" s="26"/>
      <c r="D133" s="3">
        <v>1</v>
      </c>
      <c r="E133" s="4"/>
      <c r="F133" s="23">
        <f>Таблица1[[#This Row],[Цена поступления (руб. за шт.)]]*Таблица1[[#This Row],[На остатке (шт.)]]</f>
        <v>0</v>
      </c>
      <c r="G133" s="4">
        <v>13200</v>
      </c>
      <c r="H133" s="23">
        <f>Таблица1[[#This Row],[Цена реализации (руб. за шт.)]]*Таблица1[[#This Row],[На остатке (шт.)]]</f>
        <v>13200</v>
      </c>
      <c r="I133" s="27">
        <v>45043.716192129628</v>
      </c>
      <c r="J13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3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34" spans="1:11" ht="30" x14ac:dyDescent="0.25">
      <c r="A134" s="2">
        <f t="shared" si="1"/>
        <v>133</v>
      </c>
      <c r="B134" s="5" t="s">
        <v>122</v>
      </c>
      <c r="C134" s="26"/>
      <c r="D134" s="3">
        <v>1</v>
      </c>
      <c r="E134" s="4"/>
      <c r="F134" s="23">
        <f>Таблица1[[#This Row],[Цена поступления (руб. за шт.)]]*Таблица1[[#This Row],[На остатке (шт.)]]</f>
        <v>0</v>
      </c>
      <c r="G134" s="4">
        <v>3200</v>
      </c>
      <c r="H134" s="23">
        <f>Таблица1[[#This Row],[Цена реализации (руб. за шт.)]]*Таблица1[[#This Row],[На остатке (шт.)]]</f>
        <v>3200</v>
      </c>
      <c r="I134" s="27">
        <v>45043.72625</v>
      </c>
      <c r="J13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3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35" spans="1:11" ht="30" x14ac:dyDescent="0.25">
      <c r="A135" s="2">
        <f t="shared" si="1"/>
        <v>134</v>
      </c>
      <c r="B135" s="5" t="s">
        <v>123</v>
      </c>
      <c r="C135" s="26"/>
      <c r="D135" s="3">
        <v>1</v>
      </c>
      <c r="E135" s="4"/>
      <c r="F135" s="23">
        <f>Таблица1[[#This Row],[Цена поступления (руб. за шт.)]]*Таблица1[[#This Row],[На остатке (шт.)]]</f>
        <v>0</v>
      </c>
      <c r="G135" s="4">
        <v>6750</v>
      </c>
      <c r="H135" s="23">
        <f>Таблица1[[#This Row],[Цена реализации (руб. за шт.)]]*Таблица1[[#This Row],[На остатке (шт.)]]</f>
        <v>6750</v>
      </c>
      <c r="I135" s="27">
        <v>45043.72797453704</v>
      </c>
      <c r="J13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3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36" spans="1:11" ht="30" x14ac:dyDescent="0.25">
      <c r="A136" s="2">
        <f t="shared" si="1"/>
        <v>135</v>
      </c>
      <c r="B136" s="5" t="s">
        <v>124</v>
      </c>
      <c r="C136" s="26"/>
      <c r="D136" s="3">
        <v>1</v>
      </c>
      <c r="E136" s="4"/>
      <c r="F136" s="23">
        <f>Таблица1[[#This Row],[Цена поступления (руб. за шт.)]]*Таблица1[[#This Row],[На остатке (шт.)]]</f>
        <v>0</v>
      </c>
      <c r="G136" s="4">
        <v>3300</v>
      </c>
      <c r="H136" s="23">
        <f>Таблица1[[#This Row],[Цена реализации (руб. за шт.)]]*Таблица1[[#This Row],[На остатке (шт.)]]</f>
        <v>3300</v>
      </c>
      <c r="I136" s="27">
        <v>45043.732465277775</v>
      </c>
      <c r="J13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3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37" spans="1:11" ht="34.5" customHeight="1" x14ac:dyDescent="0.25">
      <c r="A137" s="2">
        <f t="shared" si="1"/>
        <v>136</v>
      </c>
      <c r="B137" s="5" t="s">
        <v>119</v>
      </c>
      <c r="C137" s="26"/>
      <c r="D137" s="3">
        <v>1</v>
      </c>
      <c r="E137" s="4"/>
      <c r="F137" s="23">
        <f>Таблица1[[#This Row],[Цена поступления (руб. за шт.)]]*Таблица1[[#This Row],[На остатке (шт.)]]</f>
        <v>0</v>
      </c>
      <c r="G137" s="4">
        <v>8900</v>
      </c>
      <c r="H137" s="23">
        <f>Таблица1[[#This Row],[Цена реализации (руб. за шт.)]]*Таблица1[[#This Row],[На остатке (шт.)]]</f>
        <v>8900</v>
      </c>
      <c r="I137" s="27">
        <v>45051.58697916667</v>
      </c>
      <c r="J13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3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38" spans="1:11" ht="30" x14ac:dyDescent="0.25">
      <c r="A138" s="2">
        <f t="shared" si="1"/>
        <v>137</v>
      </c>
      <c r="B138" s="5" t="s">
        <v>120</v>
      </c>
      <c r="C138" s="26"/>
      <c r="D138" s="3">
        <v>1</v>
      </c>
      <c r="E138" s="4"/>
      <c r="F138" s="23">
        <f>Таблица1[[#This Row],[Цена поступления (руб. за шт.)]]*Таблица1[[#This Row],[На остатке (шт.)]]</f>
        <v>0</v>
      </c>
      <c r="G138" s="4">
        <v>3900</v>
      </c>
      <c r="H138" s="23">
        <f>Таблица1[[#This Row],[Цена реализации (руб. за шт.)]]*Таблица1[[#This Row],[На остатке (шт.)]]</f>
        <v>3900</v>
      </c>
      <c r="I138" s="27">
        <v>45051.58697916667</v>
      </c>
      <c r="J13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3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39" spans="1:11" ht="30" x14ac:dyDescent="0.25">
      <c r="A139" s="2">
        <f t="shared" si="1"/>
        <v>138</v>
      </c>
      <c r="B139" s="5" t="s">
        <v>243</v>
      </c>
      <c r="C139" s="26"/>
      <c r="D139" s="3">
        <v>2</v>
      </c>
      <c r="E139" s="4">
        <v>2199</v>
      </c>
      <c r="F139" s="23">
        <f>Таблица1[[#This Row],[Цена поступления (руб. за шт.)]]*Таблица1[[#This Row],[На остатке (шт.)]]</f>
        <v>4398</v>
      </c>
      <c r="G139" s="4">
        <v>3500</v>
      </c>
      <c r="H139" s="23">
        <f>Таблица1[[#This Row],[Цена реализации (руб. за шт.)]]*Таблица1[[#This Row],[На остатке (шт.)]]</f>
        <v>7000</v>
      </c>
      <c r="I139" s="27">
        <v>45058.461712962962</v>
      </c>
      <c r="J13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0.37171428571428572</v>
      </c>
      <c r="K13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0.59163256025466116</v>
      </c>
    </row>
    <row r="140" spans="1:11" ht="30" x14ac:dyDescent="0.25">
      <c r="A140" s="2">
        <f t="shared" si="1"/>
        <v>139</v>
      </c>
      <c r="B140" s="5" t="s">
        <v>125</v>
      </c>
      <c r="C140" s="26"/>
      <c r="D140" s="3">
        <v>2</v>
      </c>
      <c r="E140" s="4">
        <v>2186</v>
      </c>
      <c r="F140" s="23">
        <f>Таблица1[[#This Row],[Цена поступления (руб. за шт.)]]*Таблица1[[#This Row],[На остатке (шт.)]]</f>
        <v>4372</v>
      </c>
      <c r="G140" s="4">
        <v>3200</v>
      </c>
      <c r="H140" s="23">
        <f>Таблица1[[#This Row],[Цена реализации (руб. за шт.)]]*Таблица1[[#This Row],[На остатке (шт.)]]</f>
        <v>6400</v>
      </c>
      <c r="I140" s="27">
        <v>45051.59002314815</v>
      </c>
      <c r="J14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0.31687500000000002</v>
      </c>
      <c r="K14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0.46386093321134492</v>
      </c>
    </row>
    <row r="141" spans="1:11" ht="30" x14ac:dyDescent="0.25">
      <c r="A141" s="2">
        <f t="shared" si="1"/>
        <v>140</v>
      </c>
      <c r="B141" s="5" t="s">
        <v>126</v>
      </c>
      <c r="C141" s="26"/>
      <c r="D141" s="3">
        <v>1</v>
      </c>
      <c r="E141" s="4"/>
      <c r="F141" s="23">
        <f>Таблица1[[#This Row],[Цена поступления (руб. за шт.)]]*Таблица1[[#This Row],[На остатке (шт.)]]</f>
        <v>0</v>
      </c>
      <c r="G141" s="4">
        <v>6900</v>
      </c>
      <c r="H141" s="23">
        <f>Таблица1[[#This Row],[Цена реализации (руб. за шт.)]]*Таблица1[[#This Row],[На остатке (шт.)]]</f>
        <v>6900</v>
      </c>
      <c r="I141" s="27">
        <v>45043.735243055555</v>
      </c>
      <c r="J14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4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42" spans="1:11" ht="30" x14ac:dyDescent="0.25">
      <c r="A142" s="2">
        <f t="shared" si="1"/>
        <v>141</v>
      </c>
      <c r="B142" s="5" t="s">
        <v>317</v>
      </c>
      <c r="C142" s="26"/>
      <c r="D142" s="3">
        <v>1</v>
      </c>
      <c r="E142" s="4"/>
      <c r="F142" s="23">
        <f>Таблица1[[#This Row],[Цена поступления (руб. за шт.)]]*Таблица1[[#This Row],[На остатке (шт.)]]</f>
        <v>0</v>
      </c>
      <c r="G142" s="4">
        <v>4900</v>
      </c>
      <c r="H142" s="23">
        <f>Таблица1[[#This Row],[Цена реализации (руб. за шт.)]]*Таблица1[[#This Row],[На остатке (шт.)]]</f>
        <v>4900</v>
      </c>
      <c r="I142" s="27">
        <v>45058.463310185187</v>
      </c>
      <c r="J14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4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43" spans="1:11" ht="30" x14ac:dyDescent="0.25">
      <c r="A143" s="2">
        <f t="shared" si="1"/>
        <v>142</v>
      </c>
      <c r="B143" s="5" t="s">
        <v>127</v>
      </c>
      <c r="C143" s="26"/>
      <c r="D143" s="3">
        <v>1</v>
      </c>
      <c r="E143" s="4"/>
      <c r="F143" s="23">
        <f>Таблица1[[#This Row],[Цена поступления (руб. за шт.)]]*Таблица1[[#This Row],[На остатке (шт.)]]</f>
        <v>0</v>
      </c>
      <c r="G143" s="4">
        <v>4200</v>
      </c>
      <c r="H143" s="23">
        <f>Таблица1[[#This Row],[Цена реализации (руб. за шт.)]]*Таблица1[[#This Row],[На остатке (шт.)]]</f>
        <v>4200</v>
      </c>
      <c r="I143" s="27">
        <v>45043.740335648145</v>
      </c>
      <c r="J14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4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44" spans="1:11" ht="30" x14ac:dyDescent="0.25">
      <c r="A144" s="2">
        <f t="shared" si="1"/>
        <v>143</v>
      </c>
      <c r="B144" s="5" t="s">
        <v>128</v>
      </c>
      <c r="C144" s="26"/>
      <c r="D144" s="3">
        <v>1</v>
      </c>
      <c r="E144" s="4"/>
      <c r="F144" s="23">
        <f>Таблица1[[#This Row],[Цена поступления (руб. за шт.)]]*Таблица1[[#This Row],[На остатке (шт.)]]</f>
        <v>0</v>
      </c>
      <c r="G144" s="4">
        <v>7990</v>
      </c>
      <c r="H144" s="23">
        <f>Таблица1[[#This Row],[Цена реализации (руб. за шт.)]]*Таблица1[[#This Row],[На остатке (шт.)]]</f>
        <v>7990</v>
      </c>
      <c r="I144" s="27">
        <v>45043.746261574073</v>
      </c>
      <c r="J14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4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45" spans="1:11" ht="30" x14ac:dyDescent="0.25">
      <c r="A145" s="2">
        <f t="shared" si="1"/>
        <v>144</v>
      </c>
      <c r="B145" s="5" t="s">
        <v>225</v>
      </c>
      <c r="C145" s="26"/>
      <c r="D145" s="3">
        <v>1</v>
      </c>
      <c r="E145" s="4">
        <v>2541.4</v>
      </c>
      <c r="F145" s="23">
        <f>Таблица1[[#This Row],[Цена поступления (руб. за шт.)]]*Таблица1[[#This Row],[На остатке (шт.)]]</f>
        <v>2541.4</v>
      </c>
      <c r="G145" s="4">
        <v>3600</v>
      </c>
      <c r="H145" s="23">
        <f>Таблица1[[#This Row],[Цена реализации (руб. за шт.)]]*Таблица1[[#This Row],[На остатке (шт.)]]</f>
        <v>3600</v>
      </c>
      <c r="I145" s="27">
        <v>45049.739340277774</v>
      </c>
      <c r="J14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0.29405555555555551</v>
      </c>
      <c r="K14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0.4165420634296057</v>
      </c>
    </row>
    <row r="146" spans="1:11" ht="30" x14ac:dyDescent="0.25">
      <c r="A146" s="2">
        <f t="shared" si="1"/>
        <v>145</v>
      </c>
      <c r="B146" s="5" t="s">
        <v>121</v>
      </c>
      <c r="C146" s="26"/>
      <c r="D146" s="3">
        <v>0</v>
      </c>
      <c r="E146" s="4"/>
      <c r="F146" s="23">
        <f>Таблица1[[#This Row],[Цена поступления (руб. за шт.)]]*Таблица1[[#This Row],[На остатке (шт.)]]</f>
        <v>0</v>
      </c>
      <c r="G146" s="4">
        <v>4190</v>
      </c>
      <c r="H146" s="23">
        <f>Таблица1[[#This Row],[Цена реализации (руб. за шт.)]]*Таблица1[[#This Row],[На остатке (шт.)]]</f>
        <v>0</v>
      </c>
      <c r="I146" s="27">
        <v>45044.407094907408</v>
      </c>
      <c r="J14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4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47" spans="1:11" ht="30" x14ac:dyDescent="0.25">
      <c r="A147" s="2">
        <f t="shared" si="1"/>
        <v>146</v>
      </c>
      <c r="B147" s="5" t="s">
        <v>216</v>
      </c>
      <c r="C147" s="26"/>
      <c r="D147" s="3">
        <v>1</v>
      </c>
      <c r="E147" s="4">
        <v>3745.21</v>
      </c>
      <c r="F147" s="23">
        <f>Таблица1[[#This Row],[Цена поступления (руб. за шт.)]]*Таблица1[[#This Row],[На остатке (шт.)]]</f>
        <v>3745.21</v>
      </c>
      <c r="G147" s="4">
        <v>4900</v>
      </c>
      <c r="H147" s="23">
        <f>Таблица1[[#This Row],[Цена реализации (руб. за шт.)]]*Таблица1[[#This Row],[На остатке (шт.)]]</f>
        <v>4900</v>
      </c>
      <c r="I147" s="27">
        <v>45049.70140046296</v>
      </c>
      <c r="J14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0.23567142857142856</v>
      </c>
      <c r="K14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0.30833785021400667</v>
      </c>
    </row>
    <row r="148" spans="1:11" ht="30" x14ac:dyDescent="0.25">
      <c r="A148" s="2">
        <f t="shared" si="1"/>
        <v>147</v>
      </c>
      <c r="B148" s="5" t="s">
        <v>199</v>
      </c>
      <c r="C148" s="26"/>
      <c r="D148" s="3">
        <v>1</v>
      </c>
      <c r="E148" s="4"/>
      <c r="F148" s="23">
        <f>Таблица1[[#This Row],[Цена поступления (руб. за шт.)]]*Таблица1[[#This Row],[На остатке (шт.)]]</f>
        <v>0</v>
      </c>
      <c r="G148" s="4">
        <v>4400</v>
      </c>
      <c r="H148" s="23">
        <f>Таблица1[[#This Row],[Цена реализации (руб. за шт.)]]*Таблица1[[#This Row],[На остатке (шт.)]]</f>
        <v>4400</v>
      </c>
      <c r="I148" s="27">
        <v>45045.5</v>
      </c>
      <c r="J14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4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49" spans="1:11" ht="30" x14ac:dyDescent="0.25">
      <c r="A149" s="2">
        <f t="shared" si="1"/>
        <v>148</v>
      </c>
      <c r="B149" s="5" t="s">
        <v>59</v>
      </c>
      <c r="C149" s="26"/>
      <c r="D149" s="3">
        <v>1</v>
      </c>
      <c r="E149" s="4">
        <v>2980</v>
      </c>
      <c r="F149" s="23">
        <f>Таблица1[[#This Row],[Цена поступления (руб. за шт.)]]*Таблица1[[#This Row],[На остатке (шт.)]]</f>
        <v>2980</v>
      </c>
      <c r="G149" s="4">
        <v>4000</v>
      </c>
      <c r="H149" s="23">
        <f>Таблица1[[#This Row],[Цена реализации (руб. за шт.)]]*Таблица1[[#This Row],[На остатке (шт.)]]</f>
        <v>4000</v>
      </c>
      <c r="I149" s="27">
        <v>45045.502418981479</v>
      </c>
      <c r="J14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0.255</v>
      </c>
      <c r="K14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0.34228187919463088</v>
      </c>
    </row>
    <row r="150" spans="1:11" ht="30" x14ac:dyDescent="0.25">
      <c r="A150" s="2">
        <f t="shared" ref="A150:A225" si="2">ROW()-1</f>
        <v>149</v>
      </c>
      <c r="B150" s="5" t="s">
        <v>159</v>
      </c>
      <c r="C150" s="26"/>
      <c r="D150" s="3">
        <v>1</v>
      </c>
      <c r="E150" s="4"/>
      <c r="F150" s="23">
        <f>Таблица1[[#This Row],[Цена поступления (руб. за шт.)]]*Таблица1[[#This Row],[На остатке (шт.)]]</f>
        <v>0</v>
      </c>
      <c r="G150" s="4">
        <v>2800</v>
      </c>
      <c r="H150" s="23">
        <f>Таблица1[[#This Row],[Цена реализации (руб. за шт.)]]*Таблица1[[#This Row],[На остатке (шт.)]]</f>
        <v>2800</v>
      </c>
      <c r="I150" s="27">
        <v>45044.719224537039</v>
      </c>
      <c r="J15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5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51" spans="1:11" x14ac:dyDescent="0.25">
      <c r="A151" s="2">
        <f t="shared" si="2"/>
        <v>150</v>
      </c>
      <c r="B151" s="5" t="s">
        <v>160</v>
      </c>
      <c r="C151" s="26"/>
      <c r="D151" s="3">
        <v>1</v>
      </c>
      <c r="E151" s="4"/>
      <c r="F151" s="23">
        <f>Таблица1[[#This Row],[Цена поступления (руб. за шт.)]]*Таблица1[[#This Row],[На остатке (шт.)]]</f>
        <v>0</v>
      </c>
      <c r="G151" s="4">
        <v>1700</v>
      </c>
      <c r="H151" s="23">
        <f>Таблица1[[#This Row],[Цена реализации (руб. за шт.)]]*Таблица1[[#This Row],[На остатке (шт.)]]</f>
        <v>1700</v>
      </c>
      <c r="I151" s="27">
        <v>45044.720416666663</v>
      </c>
      <c r="J15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5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52" spans="1:11" ht="30" x14ac:dyDescent="0.25">
      <c r="A152" s="2">
        <f t="shared" si="2"/>
        <v>151</v>
      </c>
      <c r="B152" s="5" t="s">
        <v>61</v>
      </c>
      <c r="C152" s="26"/>
      <c r="D152" s="3">
        <v>2</v>
      </c>
      <c r="E152" s="4">
        <v>194.52</v>
      </c>
      <c r="F152" s="23">
        <f>Таблица1[[#This Row],[Цена поступления (руб. за шт.)]]*Таблица1[[#This Row],[На остатке (шт.)]]</f>
        <v>389.04</v>
      </c>
      <c r="G152" s="4">
        <v>300</v>
      </c>
      <c r="H152" s="23">
        <f>Таблица1[[#This Row],[Цена реализации (руб. за шт.)]]*Таблица1[[#This Row],[На остатке (шт.)]]</f>
        <v>600</v>
      </c>
      <c r="I152" s="27">
        <v>45043.598692129628</v>
      </c>
      <c r="J15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0.35159999999999997</v>
      </c>
      <c r="K15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0.54225786551511401</v>
      </c>
    </row>
    <row r="153" spans="1:11" ht="45" x14ac:dyDescent="0.25">
      <c r="A153" s="2">
        <f t="shared" si="2"/>
        <v>152</v>
      </c>
      <c r="B153" s="5" t="s">
        <v>62</v>
      </c>
      <c r="C153" s="26"/>
      <c r="D153" s="3">
        <v>2</v>
      </c>
      <c r="E153" s="4">
        <v>380.16</v>
      </c>
      <c r="F153" s="23">
        <f>Таблица1[[#This Row],[Цена поступления (руб. за шт.)]]*Таблица1[[#This Row],[На остатке (шт.)]]</f>
        <v>760.32</v>
      </c>
      <c r="G153" s="4">
        <v>480</v>
      </c>
      <c r="H153" s="23">
        <f>Таблица1[[#This Row],[Цена реализации (руб. за шт.)]]*Таблица1[[#This Row],[На остатке (шт.)]]</f>
        <v>960</v>
      </c>
      <c r="I153" s="27">
        <v>45043.598715277774</v>
      </c>
      <c r="J153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0.20799999999999993</v>
      </c>
      <c r="K153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0.26262626262626254</v>
      </c>
    </row>
    <row r="154" spans="1:11" ht="30" x14ac:dyDescent="0.25">
      <c r="A154" s="2">
        <f t="shared" si="2"/>
        <v>153</v>
      </c>
      <c r="B154" s="5" t="s">
        <v>278</v>
      </c>
      <c r="C154" s="26"/>
      <c r="D154" s="3">
        <v>2</v>
      </c>
      <c r="E154" s="4">
        <v>233.91</v>
      </c>
      <c r="F154" s="23">
        <f>Таблица1[[#This Row],[Цена поступления (руб. за шт.)]]*Таблица1[[#This Row],[На остатке (шт.)]]</f>
        <v>467.82</v>
      </c>
      <c r="G154" s="4">
        <v>450</v>
      </c>
      <c r="H154" s="23">
        <f>Таблица1[[#This Row],[Цена реализации (руб. за шт.)]]*Таблица1[[#This Row],[На остатке (шт.)]]</f>
        <v>900</v>
      </c>
      <c r="I154" s="27">
        <v>45056.573842592596</v>
      </c>
      <c r="J154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0.48020000000000002</v>
      </c>
      <c r="K154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0.92381685263562907</v>
      </c>
    </row>
    <row r="155" spans="1:11" ht="30" x14ac:dyDescent="0.25">
      <c r="A155" s="2">
        <f t="shared" si="2"/>
        <v>154</v>
      </c>
      <c r="B155" s="5" t="s">
        <v>139</v>
      </c>
      <c r="C155" s="26"/>
      <c r="D155" s="3">
        <v>1</v>
      </c>
      <c r="E155" s="4"/>
      <c r="F155" s="23">
        <f>Таблица1[[#This Row],[Цена поступления (руб. за шт.)]]*Таблица1[[#This Row],[На остатке (шт.)]]</f>
        <v>0</v>
      </c>
      <c r="G155" s="4">
        <v>3500</v>
      </c>
      <c r="H155" s="23">
        <f>Таблица1[[#This Row],[Цена реализации (руб. за шт.)]]*Таблица1[[#This Row],[На остатке (шт.)]]</f>
        <v>3500</v>
      </c>
      <c r="I155" s="27">
        <v>45044.650682870371</v>
      </c>
      <c r="J15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5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56" spans="1:11" ht="30" x14ac:dyDescent="0.25">
      <c r="A156" s="2">
        <f t="shared" si="2"/>
        <v>155</v>
      </c>
      <c r="B156" s="5" t="s">
        <v>141</v>
      </c>
      <c r="C156" s="26"/>
      <c r="D156" s="3">
        <v>1</v>
      </c>
      <c r="E156" s="4"/>
      <c r="F156" s="23">
        <f>Таблица1[[#This Row],[Цена поступления (руб. за шт.)]]*Таблица1[[#This Row],[На остатке (шт.)]]</f>
        <v>0</v>
      </c>
      <c r="G156" s="4">
        <v>6201</v>
      </c>
      <c r="H156" s="23">
        <f>Таблица1[[#This Row],[Цена реализации (руб. за шт.)]]*Таблица1[[#This Row],[На остатке (шт.)]]</f>
        <v>6201</v>
      </c>
      <c r="I156" s="27">
        <v>45044.657164351855</v>
      </c>
      <c r="J15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5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57" spans="1:11" ht="30" x14ac:dyDescent="0.25">
      <c r="A157" s="2">
        <f t="shared" si="2"/>
        <v>156</v>
      </c>
      <c r="B157" s="5" t="s">
        <v>142</v>
      </c>
      <c r="C157" s="26"/>
      <c r="D157" s="3">
        <v>1</v>
      </c>
      <c r="E157" s="4"/>
      <c r="F157" s="23">
        <f>Таблица1[[#This Row],[Цена поступления (руб. за шт.)]]*Таблица1[[#This Row],[На остатке (шт.)]]</f>
        <v>0</v>
      </c>
      <c r="G157" s="4">
        <v>6800</v>
      </c>
      <c r="H157" s="23">
        <f>Таблица1[[#This Row],[Цена реализации (руб. за шт.)]]*Таблица1[[#This Row],[На остатке (шт.)]]</f>
        <v>6800</v>
      </c>
      <c r="I157" s="27">
        <v>45044.680462962962</v>
      </c>
      <c r="J15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5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58" spans="1:11" ht="60" x14ac:dyDescent="0.25">
      <c r="A158" s="2">
        <f t="shared" si="2"/>
        <v>157</v>
      </c>
      <c r="B158" s="5" t="s">
        <v>279</v>
      </c>
      <c r="C158" s="26"/>
      <c r="D158" s="3">
        <v>2</v>
      </c>
      <c r="E158" s="4">
        <v>4520</v>
      </c>
      <c r="F158" s="23">
        <f>Таблица1[[#This Row],[Цена поступления (руб. за шт.)]]*Таблица1[[#This Row],[На остатке (шт.)]]</f>
        <v>9040</v>
      </c>
      <c r="G158" s="4">
        <v>6800</v>
      </c>
      <c r="H158" s="23">
        <f>Таблица1[[#This Row],[Цена реализации (руб. за шт.)]]*Таблица1[[#This Row],[На остатке (шт.)]]</f>
        <v>13600</v>
      </c>
      <c r="I158" s="27">
        <v>45056.574861111112</v>
      </c>
      <c r="J15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0.3352941176470588</v>
      </c>
      <c r="K15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0.50442477876106195</v>
      </c>
    </row>
    <row r="159" spans="1:11" ht="30" x14ac:dyDescent="0.25">
      <c r="A159" s="2">
        <f t="shared" si="2"/>
        <v>158</v>
      </c>
      <c r="B159" s="5" t="s">
        <v>143</v>
      </c>
      <c r="C159" s="26"/>
      <c r="D159" s="3">
        <v>1</v>
      </c>
      <c r="E159" s="4"/>
      <c r="F159" s="23">
        <f>Таблица1[[#This Row],[Цена поступления (руб. за шт.)]]*Таблица1[[#This Row],[На остатке (шт.)]]</f>
        <v>0</v>
      </c>
      <c r="G159" s="4">
        <v>6000</v>
      </c>
      <c r="H159" s="23">
        <f>Таблица1[[#This Row],[Цена реализации (руб. за шт.)]]*Таблица1[[#This Row],[На остатке (шт.)]]</f>
        <v>6000</v>
      </c>
      <c r="I159" s="27">
        <v>45044.685127314813</v>
      </c>
      <c r="J15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5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60" spans="1:11" ht="30" x14ac:dyDescent="0.25">
      <c r="A160" s="2">
        <f t="shared" si="2"/>
        <v>159</v>
      </c>
      <c r="B160" s="5" t="s">
        <v>144</v>
      </c>
      <c r="C160" s="26"/>
      <c r="D160" s="3">
        <v>1</v>
      </c>
      <c r="E160" s="4"/>
      <c r="F160" s="23">
        <f>Таблица1[[#This Row],[Цена поступления (руб. за шт.)]]*Таблица1[[#This Row],[На остатке (шт.)]]</f>
        <v>0</v>
      </c>
      <c r="G160" s="4">
        <v>3700</v>
      </c>
      <c r="H160" s="23">
        <f>Таблица1[[#This Row],[Цена реализации (руб. за шт.)]]*Таблица1[[#This Row],[На остатке (шт.)]]</f>
        <v>3700</v>
      </c>
      <c r="I160" s="27">
        <v>45044.686423611114</v>
      </c>
      <c r="J16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6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61" spans="1:11" ht="30" x14ac:dyDescent="0.25">
      <c r="A161" s="2">
        <f t="shared" si="2"/>
        <v>160</v>
      </c>
      <c r="B161" s="5" t="s">
        <v>156</v>
      </c>
      <c r="C161" s="26"/>
      <c r="D161" s="3">
        <v>1</v>
      </c>
      <c r="E161" s="4"/>
      <c r="F161" s="23">
        <f>Таблица1[[#This Row],[Цена поступления (руб. за шт.)]]*Таблица1[[#This Row],[На остатке (шт.)]]</f>
        <v>0</v>
      </c>
      <c r="G161" s="4">
        <v>3050</v>
      </c>
      <c r="H161" s="23">
        <f>Таблица1[[#This Row],[Цена реализации (руб. за шт.)]]*Таблица1[[#This Row],[На остатке (шт.)]]</f>
        <v>3050</v>
      </c>
      <c r="I161" s="27">
        <v>45044.708773148152</v>
      </c>
      <c r="J16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6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62" spans="1:11" ht="30" x14ac:dyDescent="0.25">
      <c r="A162" s="2">
        <f t="shared" si="2"/>
        <v>161</v>
      </c>
      <c r="B162" s="5" t="s">
        <v>161</v>
      </c>
      <c r="C162" s="26"/>
      <c r="D162" s="3">
        <v>1</v>
      </c>
      <c r="E162" s="4"/>
      <c r="F162" s="23">
        <f>Таблица1[[#This Row],[Цена поступления (руб. за шт.)]]*Таблица1[[#This Row],[На остатке (шт.)]]</f>
        <v>0</v>
      </c>
      <c r="G162" s="4">
        <v>2500</v>
      </c>
      <c r="H162" s="23">
        <f>Таблица1[[#This Row],[Цена реализации (руб. за шт.)]]*Таблица1[[#This Row],[На остатке (шт.)]]</f>
        <v>2500</v>
      </c>
      <c r="I162" s="27">
        <v>45044.721666666665</v>
      </c>
      <c r="J16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6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63" spans="1:11" ht="30" x14ac:dyDescent="0.25">
      <c r="A163" s="2">
        <f t="shared" si="2"/>
        <v>162</v>
      </c>
      <c r="B163" s="5" t="s">
        <v>162</v>
      </c>
      <c r="C163" s="26"/>
      <c r="D163" s="3">
        <v>1</v>
      </c>
      <c r="E163" s="4"/>
      <c r="F163" s="23">
        <f>Таблица1[[#This Row],[Цена поступления (руб. за шт.)]]*Таблица1[[#This Row],[На остатке (шт.)]]</f>
        <v>0</v>
      </c>
      <c r="G163" s="4">
        <v>3570</v>
      </c>
      <c r="H163" s="23">
        <f>Таблица1[[#This Row],[Цена реализации (руб. за шт.)]]*Таблица1[[#This Row],[На остатке (шт.)]]</f>
        <v>3570</v>
      </c>
      <c r="I163" s="27">
        <v>45044.723101851851</v>
      </c>
      <c r="J16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6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64" spans="1:11" ht="30" x14ac:dyDescent="0.25">
      <c r="A164" s="2">
        <f t="shared" si="2"/>
        <v>163</v>
      </c>
      <c r="B164" s="5" t="s">
        <v>163</v>
      </c>
      <c r="C164" s="26"/>
      <c r="D164" s="3">
        <v>1</v>
      </c>
      <c r="E164" s="4"/>
      <c r="F164" s="23">
        <f>Таблица1[[#This Row],[Цена поступления (руб. за шт.)]]*Таблица1[[#This Row],[На остатке (шт.)]]</f>
        <v>0</v>
      </c>
      <c r="G164" s="4">
        <v>2900</v>
      </c>
      <c r="H164" s="23">
        <f>Таблица1[[#This Row],[Цена реализации (руб. за шт.)]]*Таблица1[[#This Row],[На остатке (шт.)]]</f>
        <v>2900</v>
      </c>
      <c r="I164" s="27">
        <v>45044.726319444446</v>
      </c>
      <c r="J16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6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65" spans="1:11" ht="30" x14ac:dyDescent="0.25">
      <c r="A165" s="2">
        <f t="shared" si="2"/>
        <v>164</v>
      </c>
      <c r="B165" s="5" t="s">
        <v>147</v>
      </c>
      <c r="C165" s="26"/>
      <c r="D165" s="3">
        <v>1</v>
      </c>
      <c r="E165" s="4"/>
      <c r="F165" s="23">
        <f>Таблица1[[#This Row],[Цена поступления (руб. за шт.)]]*Таблица1[[#This Row],[На остатке (шт.)]]</f>
        <v>0</v>
      </c>
      <c r="G165" s="4">
        <v>4300</v>
      </c>
      <c r="H165" s="23">
        <f>Таблица1[[#This Row],[Цена реализации (руб. за шт.)]]*Таблица1[[#This Row],[На остатке (шт.)]]</f>
        <v>4300</v>
      </c>
      <c r="I165" s="27">
        <v>45044.691967592589</v>
      </c>
      <c r="J16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6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66" spans="1:11" ht="30" x14ac:dyDescent="0.25">
      <c r="A166" s="2">
        <f t="shared" si="2"/>
        <v>165</v>
      </c>
      <c r="B166" s="5" t="s">
        <v>148</v>
      </c>
      <c r="C166" s="26"/>
      <c r="D166" s="3">
        <v>1</v>
      </c>
      <c r="E166" s="4"/>
      <c r="F166" s="23">
        <f>Таблица1[[#This Row],[Цена поступления (руб. за шт.)]]*Таблица1[[#This Row],[На остатке (шт.)]]</f>
        <v>0</v>
      </c>
      <c r="G166" s="4">
        <v>3750</v>
      </c>
      <c r="H166" s="23">
        <f>Таблица1[[#This Row],[Цена реализации (руб. за шт.)]]*Таблица1[[#This Row],[На остатке (шт.)]]</f>
        <v>3750</v>
      </c>
      <c r="I166" s="27">
        <v>45044.694699074076</v>
      </c>
      <c r="J16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6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67" spans="1:11" ht="30" x14ac:dyDescent="0.25">
      <c r="A167" s="2">
        <f t="shared" si="2"/>
        <v>166</v>
      </c>
      <c r="B167" s="5" t="s">
        <v>149</v>
      </c>
      <c r="C167" s="26"/>
      <c r="D167" s="3">
        <v>1</v>
      </c>
      <c r="E167" s="4"/>
      <c r="F167" s="23">
        <f>Таблица1[[#This Row],[Цена поступления (руб. за шт.)]]*Таблица1[[#This Row],[На остатке (шт.)]]</f>
        <v>0</v>
      </c>
      <c r="G167" s="4">
        <v>3700</v>
      </c>
      <c r="H167" s="23">
        <f>Таблица1[[#This Row],[Цена реализации (руб. за шт.)]]*Таблица1[[#This Row],[На остатке (шт.)]]</f>
        <v>3700</v>
      </c>
      <c r="I167" s="27">
        <v>45044.695740740739</v>
      </c>
      <c r="J16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6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68" spans="1:11" ht="30" x14ac:dyDescent="0.25">
      <c r="A168" s="2">
        <f t="shared" si="2"/>
        <v>167</v>
      </c>
      <c r="B168" s="5" t="s">
        <v>150</v>
      </c>
      <c r="C168" s="26"/>
      <c r="D168" s="3">
        <v>1</v>
      </c>
      <c r="E168" s="4"/>
      <c r="F168" s="23">
        <f>Таблица1[[#This Row],[Цена поступления (руб. за шт.)]]*Таблица1[[#This Row],[На остатке (шт.)]]</f>
        <v>0</v>
      </c>
      <c r="G168" s="4">
        <v>4100</v>
      </c>
      <c r="H168" s="23">
        <f>Таблица1[[#This Row],[Цена реализации (руб. за шт.)]]*Таблица1[[#This Row],[На остатке (шт.)]]</f>
        <v>4100</v>
      </c>
      <c r="I168" s="27">
        <v>45044.697291666664</v>
      </c>
      <c r="J16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6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69" spans="1:11" ht="30" x14ac:dyDescent="0.25">
      <c r="A169" s="2">
        <f t="shared" si="2"/>
        <v>168</v>
      </c>
      <c r="B169" s="5" t="s">
        <v>151</v>
      </c>
      <c r="C169" s="26"/>
      <c r="D169" s="3">
        <v>1</v>
      </c>
      <c r="E169" s="4"/>
      <c r="F169" s="23">
        <f>Таблица1[[#This Row],[Цена поступления (руб. за шт.)]]*Таблица1[[#This Row],[На остатке (шт.)]]</f>
        <v>0</v>
      </c>
      <c r="G169" s="4">
        <v>4150</v>
      </c>
      <c r="H169" s="23">
        <f>Таблица1[[#This Row],[Цена реализации (руб. за шт.)]]*Таблица1[[#This Row],[На остатке (шт.)]]</f>
        <v>4150</v>
      </c>
      <c r="I169" s="27">
        <v>45044.69840277778</v>
      </c>
      <c r="J16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6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70" spans="1:11" ht="30" x14ac:dyDescent="0.25">
      <c r="A170" s="2">
        <f t="shared" si="2"/>
        <v>169</v>
      </c>
      <c r="B170" s="5" t="s">
        <v>152</v>
      </c>
      <c r="C170" s="26"/>
      <c r="D170" s="3">
        <v>1</v>
      </c>
      <c r="E170" s="4"/>
      <c r="F170" s="23">
        <f>Таблица1[[#This Row],[Цена поступления (руб. за шт.)]]*Таблица1[[#This Row],[На остатке (шт.)]]</f>
        <v>0</v>
      </c>
      <c r="G170" s="4">
        <v>1900</v>
      </c>
      <c r="H170" s="23">
        <f>Таблица1[[#This Row],[Цена реализации (руб. за шт.)]]*Таблица1[[#This Row],[На остатке (шт.)]]</f>
        <v>1900</v>
      </c>
      <c r="I170" s="27">
        <v>45044.699675925927</v>
      </c>
      <c r="J17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7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71" spans="1:11" ht="60" x14ac:dyDescent="0.25">
      <c r="A171" s="2">
        <f t="shared" si="2"/>
        <v>170</v>
      </c>
      <c r="B171" s="5" t="s">
        <v>228</v>
      </c>
      <c r="C171" s="26"/>
      <c r="D171" s="3">
        <v>1</v>
      </c>
      <c r="E171" s="4"/>
      <c r="F171" s="23">
        <f>Таблица1[[#This Row],[Цена поступления (руб. за шт.)]]*Таблица1[[#This Row],[На остатке (шт.)]]</f>
        <v>0</v>
      </c>
      <c r="G171" s="4">
        <v>6500</v>
      </c>
      <c r="H171" s="23">
        <f>Таблица1[[#This Row],[Цена реализации (руб. за шт.)]]*Таблица1[[#This Row],[На остатке (шт.)]]</f>
        <v>6500</v>
      </c>
      <c r="I171" s="27">
        <v>45050.491851851853</v>
      </c>
      <c r="J17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7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72" spans="1:11" ht="30" x14ac:dyDescent="0.25">
      <c r="A172" s="2">
        <f t="shared" si="2"/>
        <v>171</v>
      </c>
      <c r="B172" s="5" t="s">
        <v>230</v>
      </c>
      <c r="C172" s="26"/>
      <c r="D172" s="3">
        <v>1</v>
      </c>
      <c r="E172" s="4"/>
      <c r="F172" s="23">
        <f>Таблица1[[#This Row],[Цена поступления (руб. за шт.)]]*Таблица1[[#This Row],[На остатке (шт.)]]</f>
        <v>0</v>
      </c>
      <c r="G172" s="4">
        <v>10990</v>
      </c>
      <c r="H172" s="23">
        <f>Таблица1[[#This Row],[Цена реализации (руб. за шт.)]]*Таблица1[[#This Row],[На остатке (шт.)]]</f>
        <v>10990</v>
      </c>
      <c r="I172" s="27">
        <v>45050.493784722225</v>
      </c>
      <c r="J17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7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73" spans="1:11" ht="30" x14ac:dyDescent="0.25">
      <c r="A173" s="2">
        <f t="shared" si="2"/>
        <v>172</v>
      </c>
      <c r="B173" s="5" t="s">
        <v>229</v>
      </c>
      <c r="C173" s="26"/>
      <c r="D173" s="3">
        <v>1</v>
      </c>
      <c r="E173" s="4"/>
      <c r="F173" s="23">
        <f>Таблица1[[#This Row],[Цена поступления (руб. за шт.)]]*Таблица1[[#This Row],[На остатке (шт.)]]</f>
        <v>0</v>
      </c>
      <c r="G173" s="4">
        <v>7100</v>
      </c>
      <c r="H173" s="23">
        <f>Таблица1[[#This Row],[Цена реализации (руб. за шт.)]]*Таблица1[[#This Row],[На остатке (шт.)]]</f>
        <v>7100</v>
      </c>
      <c r="I173" s="27">
        <v>45050.492777777778</v>
      </c>
      <c r="J17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7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74" spans="1:11" ht="30" x14ac:dyDescent="0.25">
      <c r="A174" s="2">
        <f t="shared" si="2"/>
        <v>173</v>
      </c>
      <c r="B174" s="5" t="s">
        <v>236</v>
      </c>
      <c r="C174" s="26"/>
      <c r="D174" s="3">
        <v>1</v>
      </c>
      <c r="E174" s="4"/>
      <c r="F174" s="23">
        <f>Таблица1[[#This Row],[Цена поступления (руб. за шт.)]]*Таблица1[[#This Row],[На остатке (шт.)]]</f>
        <v>0</v>
      </c>
      <c r="G174" s="4">
        <v>6200</v>
      </c>
      <c r="H174" s="23">
        <f>Таблица1[[#This Row],[Цена реализации (руб. за шт.)]]*Таблица1[[#This Row],[На остатке (шт.)]]</f>
        <v>6200</v>
      </c>
      <c r="I174" s="27">
        <v>45050.714768518519</v>
      </c>
      <c r="J17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7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75" spans="1:11" ht="30" x14ac:dyDescent="0.25">
      <c r="A175" s="2">
        <f t="shared" si="2"/>
        <v>174</v>
      </c>
      <c r="B175" s="5" t="s">
        <v>237</v>
      </c>
      <c r="C175" s="26"/>
      <c r="D175" s="3">
        <v>1</v>
      </c>
      <c r="E175" s="4"/>
      <c r="F175" s="23">
        <f>Таблица1[[#This Row],[Цена поступления (руб. за шт.)]]*Таблица1[[#This Row],[На остатке (шт.)]]</f>
        <v>0</v>
      </c>
      <c r="G175" s="4">
        <v>1950</v>
      </c>
      <c r="H175" s="23">
        <f>Таблица1[[#This Row],[Цена реализации (руб. за шт.)]]*Таблица1[[#This Row],[На остатке (шт.)]]</f>
        <v>1950</v>
      </c>
      <c r="I175" s="27">
        <v>45050.717060185183</v>
      </c>
      <c r="J17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7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76" spans="1:11" ht="45" x14ac:dyDescent="0.25">
      <c r="A176" s="2">
        <f t="shared" si="2"/>
        <v>175</v>
      </c>
      <c r="B176" s="5" t="s">
        <v>238</v>
      </c>
      <c r="C176" s="26"/>
      <c r="D176" s="3">
        <v>1</v>
      </c>
      <c r="E176" s="4"/>
      <c r="F176" s="23">
        <f>Таблица1[[#This Row],[Цена поступления (руб. за шт.)]]*Таблица1[[#This Row],[На остатке (шт.)]]</f>
        <v>0</v>
      </c>
      <c r="G176" s="4">
        <v>1950</v>
      </c>
      <c r="H176" s="23">
        <f>Таблица1[[#This Row],[Цена реализации (руб. за шт.)]]*Таблица1[[#This Row],[На остатке (шт.)]]</f>
        <v>1950</v>
      </c>
      <c r="I176" s="27">
        <v>45050.7184375</v>
      </c>
      <c r="J17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7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77" spans="1:11" ht="60" x14ac:dyDescent="0.25">
      <c r="A177" s="2">
        <f t="shared" si="2"/>
        <v>176</v>
      </c>
      <c r="B177" s="5" t="s">
        <v>240</v>
      </c>
      <c r="C177" s="26"/>
      <c r="D177" s="3">
        <v>1</v>
      </c>
      <c r="E177" s="4"/>
      <c r="F177" s="23">
        <f>Таблица1[[#This Row],[Цена поступления (руб. за шт.)]]*Таблица1[[#This Row],[На остатке (шт.)]]</f>
        <v>0</v>
      </c>
      <c r="G177" s="4">
        <v>3300</v>
      </c>
      <c r="H177" s="23">
        <f>Таблица1[[#This Row],[Цена реализации (руб. за шт.)]]*Таблица1[[#This Row],[На остатке (шт.)]]</f>
        <v>3300</v>
      </c>
      <c r="I177" s="27">
        <v>45050.72246527778</v>
      </c>
      <c r="J17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7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78" spans="1:11" ht="30" x14ac:dyDescent="0.25">
      <c r="A178" s="2">
        <f t="shared" si="2"/>
        <v>177</v>
      </c>
      <c r="B178" s="5" t="s">
        <v>239</v>
      </c>
      <c r="C178" s="26"/>
      <c r="D178" s="3">
        <v>1</v>
      </c>
      <c r="E178" s="4"/>
      <c r="F178" s="23">
        <f>Таблица1[[#This Row],[Цена поступления (руб. за шт.)]]*Таблица1[[#This Row],[На остатке (шт.)]]</f>
        <v>0</v>
      </c>
      <c r="G178" s="4">
        <v>1950</v>
      </c>
      <c r="H178" s="23">
        <f>Таблица1[[#This Row],[Цена реализации (руб. за шт.)]]*Таблица1[[#This Row],[На остатке (шт.)]]</f>
        <v>1950</v>
      </c>
      <c r="I178" s="27">
        <v>45050.719583333332</v>
      </c>
      <c r="J17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7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79" spans="1:11" ht="30" x14ac:dyDescent="0.25">
      <c r="A179" s="2">
        <f t="shared" si="2"/>
        <v>178</v>
      </c>
      <c r="B179" s="5" t="s">
        <v>173</v>
      </c>
      <c r="C179" s="26"/>
      <c r="D179" s="3">
        <v>1</v>
      </c>
      <c r="E179" s="4"/>
      <c r="F179" s="23">
        <f>Таблица1[[#This Row],[Цена поступления (руб. за шт.)]]*Таблица1[[#This Row],[На остатке (шт.)]]</f>
        <v>0</v>
      </c>
      <c r="G179" s="4">
        <v>6300</v>
      </c>
      <c r="H179" s="23">
        <f>Таблица1[[#This Row],[Цена реализации (руб. за шт.)]]*Таблица1[[#This Row],[На остатке (шт.)]]</f>
        <v>6300</v>
      </c>
      <c r="I179" s="27">
        <v>45045.526597222219</v>
      </c>
      <c r="J17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7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80" spans="1:11" ht="45" x14ac:dyDescent="0.25">
      <c r="A180" s="2">
        <f t="shared" si="2"/>
        <v>179</v>
      </c>
      <c r="B180" s="5" t="s">
        <v>174</v>
      </c>
      <c r="C180" s="26"/>
      <c r="D180" s="3">
        <v>1</v>
      </c>
      <c r="E180" s="4"/>
      <c r="F180" s="23">
        <f>Таблица1[[#This Row],[Цена поступления (руб. за шт.)]]*Таблица1[[#This Row],[На остатке (шт.)]]</f>
        <v>0</v>
      </c>
      <c r="G180" s="4">
        <v>9700</v>
      </c>
      <c r="H180" s="23">
        <f>Таблица1[[#This Row],[Цена реализации (руб. за шт.)]]*Таблица1[[#This Row],[На остатке (шт.)]]</f>
        <v>9700</v>
      </c>
      <c r="I180" s="27">
        <v>45045.538240740738</v>
      </c>
      <c r="J18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8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81" spans="1:11" x14ac:dyDescent="0.25">
      <c r="A181" s="2">
        <f t="shared" si="2"/>
        <v>180</v>
      </c>
      <c r="B181" s="5" t="s">
        <v>176</v>
      </c>
      <c r="C181" s="26"/>
      <c r="D181" s="3">
        <v>1</v>
      </c>
      <c r="E181" s="4"/>
      <c r="F181" s="23">
        <f>Таблица1[[#This Row],[Цена поступления (руб. за шт.)]]*Таблица1[[#This Row],[На остатке (шт.)]]</f>
        <v>0</v>
      </c>
      <c r="G181" s="4">
        <v>4900</v>
      </c>
      <c r="H181" s="23">
        <f>Таблица1[[#This Row],[Цена реализации (руб. за шт.)]]*Таблица1[[#This Row],[На остатке (шт.)]]</f>
        <v>4900</v>
      </c>
      <c r="I181" s="27">
        <v>45045.574675925927</v>
      </c>
      <c r="J18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8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82" spans="1:11" ht="30" x14ac:dyDescent="0.25">
      <c r="A182" s="2">
        <f t="shared" si="2"/>
        <v>181</v>
      </c>
      <c r="B182" s="5" t="s">
        <v>177</v>
      </c>
      <c r="C182" s="26"/>
      <c r="D182" s="3">
        <v>1</v>
      </c>
      <c r="E182" s="4"/>
      <c r="F182" s="23">
        <f>Таблица1[[#This Row],[Цена поступления (руб. за шт.)]]*Таблица1[[#This Row],[На остатке (шт.)]]</f>
        <v>0</v>
      </c>
      <c r="G182" s="4">
        <v>4500</v>
      </c>
      <c r="H182" s="23">
        <f>Таблица1[[#This Row],[Цена реализации (руб. за шт.)]]*Таблица1[[#This Row],[На остатке (шт.)]]</f>
        <v>4500</v>
      </c>
      <c r="I182" s="27">
        <v>45045.574120370373</v>
      </c>
      <c r="J18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8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83" spans="1:11" ht="30" x14ac:dyDescent="0.25">
      <c r="A183" s="2">
        <f t="shared" si="2"/>
        <v>182</v>
      </c>
      <c r="B183" s="5" t="s">
        <v>175</v>
      </c>
      <c r="C183" s="26"/>
      <c r="D183" s="3">
        <v>1</v>
      </c>
      <c r="E183" s="4"/>
      <c r="F183" s="23">
        <f>Таблица1[[#This Row],[Цена поступления (руб. за шт.)]]*Таблица1[[#This Row],[На остатке (шт.)]]</f>
        <v>0</v>
      </c>
      <c r="G183" s="4">
        <v>4500</v>
      </c>
      <c r="H183" s="23">
        <f>Таблица1[[#This Row],[Цена реализации (руб. за шт.)]]*Таблица1[[#This Row],[На остатке (шт.)]]</f>
        <v>4500</v>
      </c>
      <c r="I183" s="27">
        <v>45045.542881944442</v>
      </c>
      <c r="J18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8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84" spans="1:11" ht="45" x14ac:dyDescent="0.25">
      <c r="A184" s="2">
        <f t="shared" si="2"/>
        <v>183</v>
      </c>
      <c r="B184" s="5" t="s">
        <v>178</v>
      </c>
      <c r="C184" s="26"/>
      <c r="D184" s="3">
        <v>1</v>
      </c>
      <c r="E184" s="4"/>
      <c r="F184" s="23">
        <f>Таблица1[[#This Row],[Цена поступления (руб. за шт.)]]*Таблица1[[#This Row],[На остатке (шт.)]]</f>
        <v>0</v>
      </c>
      <c r="G184" s="4">
        <v>5300</v>
      </c>
      <c r="H184" s="23">
        <f>Таблица1[[#This Row],[Цена реализации (руб. за шт.)]]*Таблица1[[#This Row],[На остатке (шт.)]]</f>
        <v>5300</v>
      </c>
      <c r="I184" s="27">
        <v>45045.576840277776</v>
      </c>
      <c r="J18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8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85" spans="1:11" ht="30" x14ac:dyDescent="0.25">
      <c r="A185" s="2">
        <f t="shared" si="2"/>
        <v>184</v>
      </c>
      <c r="B185" s="5" t="s">
        <v>179</v>
      </c>
      <c r="C185" s="26"/>
      <c r="D185" s="3">
        <v>1</v>
      </c>
      <c r="E185" s="4"/>
      <c r="F185" s="23">
        <f>Таблица1[[#This Row],[Цена поступления (руб. за шт.)]]*Таблица1[[#This Row],[На остатке (шт.)]]</f>
        <v>0</v>
      </c>
      <c r="G185" s="4">
        <v>5400</v>
      </c>
      <c r="H185" s="23">
        <f>Таблица1[[#This Row],[Цена реализации (руб. за шт.)]]*Таблица1[[#This Row],[На остатке (шт.)]]</f>
        <v>5400</v>
      </c>
      <c r="I185" s="27">
        <v>45045.579456018517</v>
      </c>
      <c r="J18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8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86" spans="1:11" ht="30" x14ac:dyDescent="0.25">
      <c r="A186" s="2">
        <f t="shared" si="2"/>
        <v>185</v>
      </c>
      <c r="B186" s="5" t="s">
        <v>180</v>
      </c>
      <c r="C186" s="26"/>
      <c r="D186" s="3">
        <v>1</v>
      </c>
      <c r="E186" s="4"/>
      <c r="F186" s="23">
        <f>Таблица1[[#This Row],[Цена поступления (руб. за шт.)]]*Таблица1[[#This Row],[На остатке (шт.)]]</f>
        <v>0</v>
      </c>
      <c r="G186" s="4">
        <v>8700</v>
      </c>
      <c r="H186" s="23">
        <f>Таблица1[[#This Row],[Цена реализации (руб. за шт.)]]*Таблица1[[#This Row],[На остатке (шт.)]]</f>
        <v>8700</v>
      </c>
      <c r="I186" s="27">
        <v>45045.580567129633</v>
      </c>
      <c r="J18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8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87" spans="1:11" ht="45" x14ac:dyDescent="0.25">
      <c r="A187" s="2">
        <f t="shared" si="2"/>
        <v>186</v>
      </c>
      <c r="B187" s="5" t="s">
        <v>181</v>
      </c>
      <c r="C187" s="26"/>
      <c r="D187" s="3">
        <v>1</v>
      </c>
      <c r="E187" s="4"/>
      <c r="F187" s="23">
        <f>Таблица1[[#This Row],[Цена поступления (руб. за шт.)]]*Таблица1[[#This Row],[На остатке (шт.)]]</f>
        <v>0</v>
      </c>
      <c r="G187" s="4">
        <v>4100</v>
      </c>
      <c r="H187" s="23">
        <f>Таблица1[[#This Row],[Цена реализации (руб. за шт.)]]*Таблица1[[#This Row],[На остатке (шт.)]]</f>
        <v>4100</v>
      </c>
      <c r="I187" s="27">
        <v>45045.584351851852</v>
      </c>
      <c r="J18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8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88" spans="1:11" ht="30" x14ac:dyDescent="0.25">
      <c r="A188" s="2">
        <f t="shared" si="2"/>
        <v>187</v>
      </c>
      <c r="B188" s="5" t="s">
        <v>182</v>
      </c>
      <c r="C188" s="26"/>
      <c r="D188" s="3">
        <v>0</v>
      </c>
      <c r="E188" s="4"/>
      <c r="F188" s="23">
        <f>Таблица1[[#This Row],[Цена поступления (руб. за шт.)]]*Таблица1[[#This Row],[На остатке (шт.)]]</f>
        <v>0</v>
      </c>
      <c r="G188" s="4">
        <v>4300</v>
      </c>
      <c r="H188" s="23">
        <f>Таблица1[[#This Row],[Цена реализации (руб. за шт.)]]*Таблица1[[#This Row],[На остатке (шт.)]]</f>
        <v>0</v>
      </c>
      <c r="I188" s="27">
        <v>45058.707048611112</v>
      </c>
      <c r="J18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8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89" spans="1:11" ht="30" x14ac:dyDescent="0.25">
      <c r="A189" s="2">
        <f t="shared" si="2"/>
        <v>188</v>
      </c>
      <c r="B189" s="5" t="s">
        <v>184</v>
      </c>
      <c r="C189" s="26"/>
      <c r="D189" s="3">
        <v>1</v>
      </c>
      <c r="E189" s="4"/>
      <c r="F189" s="23">
        <f>Таблица1[[#This Row],[Цена поступления (руб. за шт.)]]*Таблица1[[#This Row],[На остатке (шт.)]]</f>
        <v>0</v>
      </c>
      <c r="G189" s="4">
        <v>4800</v>
      </c>
      <c r="H189" s="23">
        <f>Таблица1[[#This Row],[Цена реализации (руб. за шт.)]]*Таблица1[[#This Row],[На остатке (шт.)]]</f>
        <v>4800</v>
      </c>
      <c r="I189" s="27">
        <v>45045.590300925927</v>
      </c>
      <c r="J18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8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90" spans="1:11" ht="30" x14ac:dyDescent="0.25">
      <c r="A190" s="2">
        <f t="shared" si="2"/>
        <v>189</v>
      </c>
      <c r="B190" s="5" t="s">
        <v>183</v>
      </c>
      <c r="C190" s="26"/>
      <c r="D190" s="3">
        <v>1</v>
      </c>
      <c r="E190" s="4"/>
      <c r="F190" s="23">
        <f>Таблица1[[#This Row],[Цена поступления (руб. за шт.)]]*Таблица1[[#This Row],[На остатке (шт.)]]</f>
        <v>0</v>
      </c>
      <c r="G190" s="4">
        <v>7400</v>
      </c>
      <c r="H190" s="23">
        <f>Таблица1[[#This Row],[Цена реализации (руб. за шт.)]]*Таблица1[[#This Row],[На остатке (шт.)]]</f>
        <v>7400</v>
      </c>
      <c r="I190" s="27">
        <v>45045.588043981479</v>
      </c>
      <c r="J19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9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91" spans="1:11" ht="30" x14ac:dyDescent="0.25">
      <c r="A191" s="2">
        <f t="shared" si="2"/>
        <v>190</v>
      </c>
      <c r="B191" s="5" t="s">
        <v>186</v>
      </c>
      <c r="C191" s="26"/>
      <c r="D191" s="3">
        <v>1</v>
      </c>
      <c r="E191" s="4"/>
      <c r="F191" s="23">
        <f>Таблица1[[#This Row],[Цена поступления (руб. за шт.)]]*Таблица1[[#This Row],[На остатке (шт.)]]</f>
        <v>0</v>
      </c>
      <c r="G191" s="4">
        <v>4700</v>
      </c>
      <c r="H191" s="23">
        <f>Таблица1[[#This Row],[Цена реализации (руб. за шт.)]]*Таблица1[[#This Row],[На остатке (шт.)]]</f>
        <v>4700</v>
      </c>
      <c r="I191" s="27">
        <v>45045.598599537036</v>
      </c>
      <c r="J19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9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92" spans="1:11" ht="30" x14ac:dyDescent="0.25">
      <c r="A192" s="2">
        <f t="shared" si="2"/>
        <v>191</v>
      </c>
      <c r="B192" s="5" t="s">
        <v>185</v>
      </c>
      <c r="C192" s="26"/>
      <c r="D192" s="3">
        <v>0</v>
      </c>
      <c r="E192" s="4"/>
      <c r="F192" s="23">
        <f>Таблица1[[#This Row],[Цена поступления (руб. за шт.)]]*Таблица1[[#This Row],[На остатке (шт.)]]</f>
        <v>0</v>
      </c>
      <c r="G192" s="4">
        <v>7800</v>
      </c>
      <c r="H192" s="23">
        <f>Таблица1[[#This Row],[Цена реализации (руб. за шт.)]]*Таблица1[[#This Row],[На остатке (шт.)]]</f>
        <v>0</v>
      </c>
      <c r="I192" s="27">
        <v>45062.742754629631</v>
      </c>
      <c r="J19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9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93" spans="1:11" x14ac:dyDescent="0.25">
      <c r="A193" s="2">
        <f t="shared" si="2"/>
        <v>192</v>
      </c>
      <c r="B193" s="5" t="s">
        <v>192</v>
      </c>
      <c r="C193" s="26"/>
      <c r="D193" s="3">
        <v>1</v>
      </c>
      <c r="E193" s="4"/>
      <c r="F193" s="23">
        <f>Таблица1[[#This Row],[Цена поступления (руб. за шт.)]]*Таблица1[[#This Row],[На остатке (шт.)]]</f>
        <v>0</v>
      </c>
      <c r="G193" s="4">
        <v>14300</v>
      </c>
      <c r="H193" s="23">
        <f>Таблица1[[#This Row],[Цена реализации (руб. за шт.)]]*Таблица1[[#This Row],[На остатке (шт.)]]</f>
        <v>14300</v>
      </c>
      <c r="I193" s="27">
        <v>45045.634108796294</v>
      </c>
      <c r="J19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9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94" spans="1:11" ht="30" x14ac:dyDescent="0.25">
      <c r="A194" s="2">
        <f t="shared" si="2"/>
        <v>193</v>
      </c>
      <c r="B194" s="5" t="s">
        <v>187</v>
      </c>
      <c r="C194" s="26"/>
      <c r="D194" s="3">
        <v>1</v>
      </c>
      <c r="E194" s="4"/>
      <c r="F194" s="23">
        <f>Таблица1[[#This Row],[Цена поступления (руб. за шт.)]]*Таблица1[[#This Row],[На остатке (шт.)]]</f>
        <v>0</v>
      </c>
      <c r="G194" s="4">
        <v>8700</v>
      </c>
      <c r="H194" s="23">
        <f>Таблица1[[#This Row],[Цена реализации (руб. за шт.)]]*Таблица1[[#This Row],[На остатке (шт.)]]</f>
        <v>8700</v>
      </c>
      <c r="I194" s="27">
        <v>45045.601261574076</v>
      </c>
      <c r="J19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9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95" spans="1:11" x14ac:dyDescent="0.25">
      <c r="A195" s="2">
        <f t="shared" si="2"/>
        <v>194</v>
      </c>
      <c r="B195" s="5" t="s">
        <v>192</v>
      </c>
      <c r="C195" s="26"/>
      <c r="D195" s="3">
        <v>1</v>
      </c>
      <c r="E195" s="4"/>
      <c r="F195" s="23">
        <f>Таблица1[[#This Row],[Цена поступления (руб. за шт.)]]*Таблица1[[#This Row],[На остатке (шт.)]]</f>
        <v>0</v>
      </c>
      <c r="G195" s="4">
        <v>3700</v>
      </c>
      <c r="H195" s="23">
        <f>Таблица1[[#This Row],[Цена реализации (руб. за шт.)]]*Таблица1[[#This Row],[На остатке (шт.)]]</f>
        <v>3700</v>
      </c>
      <c r="I195" s="27">
        <v>45045.648541666669</v>
      </c>
      <c r="J19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9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96" spans="1:11" ht="45" x14ac:dyDescent="0.25">
      <c r="A196" s="2">
        <f t="shared" si="2"/>
        <v>195</v>
      </c>
      <c r="B196" s="5" t="s">
        <v>194</v>
      </c>
      <c r="C196" s="26"/>
      <c r="D196" s="3">
        <v>0</v>
      </c>
      <c r="E196" s="4"/>
      <c r="F196" s="23">
        <f>Таблица1[[#This Row],[Цена поступления (руб. за шт.)]]*Таблица1[[#This Row],[На остатке (шт.)]]</f>
        <v>0</v>
      </c>
      <c r="G196" s="4">
        <v>9800</v>
      </c>
      <c r="H196" s="23">
        <f>Таблица1[[#This Row],[Цена реализации (руб. за шт.)]]*Таблица1[[#This Row],[На остатке (шт.)]]</f>
        <v>0</v>
      </c>
      <c r="I196" s="27">
        <v>45059.705972222226</v>
      </c>
      <c r="J19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9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97" spans="1:11" ht="30" x14ac:dyDescent="0.25">
      <c r="A197" s="2">
        <f t="shared" si="2"/>
        <v>196</v>
      </c>
      <c r="B197" s="5" t="s">
        <v>193</v>
      </c>
      <c r="C197" s="26"/>
      <c r="D197" s="3">
        <v>1</v>
      </c>
      <c r="E197" s="4"/>
      <c r="F197" s="23">
        <f>Таблица1[[#This Row],[Цена поступления (руб. за шт.)]]*Таблица1[[#This Row],[На остатке (шт.)]]</f>
        <v>0</v>
      </c>
      <c r="G197" s="4">
        <v>9100</v>
      </c>
      <c r="H197" s="23">
        <f>Таблица1[[#This Row],[Цена реализации (руб. за шт.)]]*Таблица1[[#This Row],[На остатке (шт.)]]</f>
        <v>9100</v>
      </c>
      <c r="I197" s="27">
        <v>45045.658217592594</v>
      </c>
      <c r="J19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9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198" spans="1:11" ht="30" x14ac:dyDescent="0.25">
      <c r="A198" s="2">
        <f t="shared" si="2"/>
        <v>197</v>
      </c>
      <c r="B198" s="5" t="s">
        <v>242</v>
      </c>
      <c r="C198" s="26"/>
      <c r="D198" s="3">
        <v>0</v>
      </c>
      <c r="E198" s="4">
        <v>11832</v>
      </c>
      <c r="F198" s="23">
        <f>Таблица1[[#This Row],[Цена поступления (руб. за шт.)]]*Таблица1[[#This Row],[На остатке (шт.)]]</f>
        <v>0</v>
      </c>
      <c r="G198" s="4">
        <v>15900</v>
      </c>
      <c r="H198" s="23">
        <f>Таблица1[[#This Row],[Цена реализации (руб. за шт.)]]*Таблица1[[#This Row],[На остатке (шт.)]]</f>
        <v>0</v>
      </c>
      <c r="I198" s="27">
        <v>45055.483101851853</v>
      </c>
      <c r="J19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0.25584905660377361</v>
      </c>
      <c r="K19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0.34381338742393508</v>
      </c>
    </row>
    <row r="199" spans="1:11" ht="30" x14ac:dyDescent="0.25">
      <c r="A199" s="2">
        <f t="shared" si="2"/>
        <v>198</v>
      </c>
      <c r="B199" s="5" t="s">
        <v>195</v>
      </c>
      <c r="C199" s="26"/>
      <c r="D199" s="3">
        <v>1</v>
      </c>
      <c r="E199" s="4"/>
      <c r="F199" s="23">
        <f>Таблица1[[#This Row],[Цена поступления (руб. за шт.)]]*Таблица1[[#This Row],[На остатке (шт.)]]</f>
        <v>0</v>
      </c>
      <c r="G199" s="4">
        <v>6250</v>
      </c>
      <c r="H199" s="23">
        <f>Таблица1[[#This Row],[Цена реализации (руб. за шт.)]]*Таблица1[[#This Row],[На остатке (шт.)]]</f>
        <v>6250</v>
      </c>
      <c r="I199" s="27">
        <v>45045.661111111112</v>
      </c>
      <c r="J19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19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00" spans="1:11" ht="30" x14ac:dyDescent="0.25">
      <c r="A200" s="2">
        <f t="shared" si="2"/>
        <v>199</v>
      </c>
      <c r="B200" s="5" t="s">
        <v>196</v>
      </c>
      <c r="C200" s="26"/>
      <c r="D200" s="3">
        <v>1</v>
      </c>
      <c r="E200" s="4"/>
      <c r="F200" s="23">
        <f>Таблица1[[#This Row],[Цена поступления (руб. за шт.)]]*Таблица1[[#This Row],[На остатке (шт.)]]</f>
        <v>0</v>
      </c>
      <c r="G200" s="4">
        <v>20700</v>
      </c>
      <c r="H200" s="23">
        <f>Таблица1[[#This Row],[Цена реализации (руб. за шт.)]]*Таблица1[[#This Row],[На остатке (шт.)]]</f>
        <v>20700</v>
      </c>
      <c r="I200" s="27">
        <v>45045.665370370371</v>
      </c>
      <c r="J20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0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01" spans="1:11" ht="30" x14ac:dyDescent="0.25">
      <c r="A201" s="2">
        <f t="shared" si="2"/>
        <v>200</v>
      </c>
      <c r="B201" s="5" t="s">
        <v>197</v>
      </c>
      <c r="C201" s="26"/>
      <c r="D201" s="3">
        <v>1</v>
      </c>
      <c r="E201" s="4"/>
      <c r="F201" s="23">
        <f>Таблица1[[#This Row],[Цена поступления (руб. за шт.)]]*Таблица1[[#This Row],[На остатке (шт.)]]</f>
        <v>0</v>
      </c>
      <c r="G201" s="4">
        <v>9900</v>
      </c>
      <c r="H201" s="23">
        <f>Таблица1[[#This Row],[Цена реализации (руб. за шт.)]]*Таблица1[[#This Row],[На остатке (шт.)]]</f>
        <v>9900</v>
      </c>
      <c r="I201" s="27">
        <v>45045.666504629633</v>
      </c>
      <c r="J20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0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02" spans="1:11" x14ac:dyDescent="0.25">
      <c r="A202" s="2">
        <f t="shared" si="2"/>
        <v>201</v>
      </c>
      <c r="B202" s="5" t="s">
        <v>198</v>
      </c>
      <c r="C202" s="26"/>
      <c r="D202" s="3">
        <v>1</v>
      </c>
      <c r="E202" s="4"/>
      <c r="F202" s="23">
        <f>Таблица1[[#This Row],[Цена поступления (руб. за шт.)]]*Таблица1[[#This Row],[На остатке (шт.)]]</f>
        <v>0</v>
      </c>
      <c r="G202" s="4">
        <v>16700</v>
      </c>
      <c r="H202" s="23">
        <f>Таблица1[[#This Row],[Цена реализации (руб. за шт.)]]*Таблица1[[#This Row],[На остатке (шт.)]]</f>
        <v>16700</v>
      </c>
      <c r="I202" s="27">
        <v>45045.667708333334</v>
      </c>
      <c r="J20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0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03" spans="1:11" ht="30" x14ac:dyDescent="0.25">
      <c r="A203" s="2">
        <f t="shared" si="2"/>
        <v>202</v>
      </c>
      <c r="B203" s="5" t="s">
        <v>214</v>
      </c>
      <c r="C203" s="26"/>
      <c r="D203" s="3">
        <v>1</v>
      </c>
      <c r="E203" s="4"/>
      <c r="F203" s="23">
        <f>Таблица1[[#This Row],[Цена поступления (руб. за шт.)]]*Таблица1[[#This Row],[На остатке (шт.)]]</f>
        <v>0</v>
      </c>
      <c r="G203" s="4">
        <v>8500</v>
      </c>
      <c r="H203" s="23">
        <f>Таблица1[[#This Row],[Цена реализации (руб. за шт.)]]*Таблица1[[#This Row],[На остатке (шт.)]]</f>
        <v>8500</v>
      </c>
      <c r="I203" s="27">
        <v>45049.626597222225</v>
      </c>
      <c r="J20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0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04" spans="1:11" ht="30" x14ac:dyDescent="0.25">
      <c r="A204" s="2">
        <f t="shared" si="2"/>
        <v>203</v>
      </c>
      <c r="B204" s="5" t="s">
        <v>212</v>
      </c>
      <c r="C204" s="26"/>
      <c r="D204" s="3">
        <v>1</v>
      </c>
      <c r="E204" s="4"/>
      <c r="F204" s="23">
        <f>Таблица1[[#This Row],[Цена поступления (руб. за шт.)]]*Таблица1[[#This Row],[На остатке (шт.)]]</f>
        <v>0</v>
      </c>
      <c r="G204" s="4">
        <v>10700</v>
      </c>
      <c r="H204" s="23">
        <f>Таблица1[[#This Row],[Цена реализации (руб. за шт.)]]*Таблица1[[#This Row],[На остатке (шт.)]]</f>
        <v>10700</v>
      </c>
      <c r="I204" s="27">
        <v>45049.619456018518</v>
      </c>
      <c r="J20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0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05" spans="1:11" ht="30" x14ac:dyDescent="0.25">
      <c r="A205" s="2">
        <f t="shared" si="2"/>
        <v>204</v>
      </c>
      <c r="B205" s="5" t="s">
        <v>213</v>
      </c>
      <c r="C205" s="26"/>
      <c r="D205" s="3">
        <v>1</v>
      </c>
      <c r="E205" s="4"/>
      <c r="F205" s="23">
        <f>Таблица1[[#This Row],[Цена поступления (руб. за шт.)]]*Таблица1[[#This Row],[На остатке (шт.)]]</f>
        <v>0</v>
      </c>
      <c r="G205" s="4">
        <v>9200</v>
      </c>
      <c r="H205" s="23">
        <f>Таблица1[[#This Row],[Цена реализации (руб. за шт.)]]*Таблица1[[#This Row],[На остатке (шт.)]]</f>
        <v>9200</v>
      </c>
      <c r="I205" s="27">
        <v>45049.621145833335</v>
      </c>
      <c r="J20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0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06" spans="1:11" ht="30" x14ac:dyDescent="0.25">
      <c r="A206" s="2">
        <f t="shared" si="2"/>
        <v>205</v>
      </c>
      <c r="B206" s="5" t="s">
        <v>217</v>
      </c>
      <c r="C206" s="26"/>
      <c r="D206" s="3">
        <v>1</v>
      </c>
      <c r="E206" s="4"/>
      <c r="F206" s="23">
        <f>Таблица1[[#This Row],[Цена поступления (руб. за шт.)]]*Таблица1[[#This Row],[На остатке (шт.)]]</f>
        <v>0</v>
      </c>
      <c r="G206" s="4">
        <v>19900</v>
      </c>
      <c r="H206" s="23">
        <f>Таблица1[[#This Row],[Цена реализации (руб. за шт.)]]*Таблица1[[#This Row],[На остатке (шт.)]]</f>
        <v>19900</v>
      </c>
      <c r="I206" s="27">
        <v>45049.717002314814</v>
      </c>
      <c r="J20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0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07" spans="1:11" ht="30" x14ac:dyDescent="0.25">
      <c r="A207" s="2">
        <f t="shared" si="2"/>
        <v>206</v>
      </c>
      <c r="B207" s="5" t="s">
        <v>218</v>
      </c>
      <c r="C207" s="26"/>
      <c r="D207" s="3">
        <v>1</v>
      </c>
      <c r="E207" s="4"/>
      <c r="F207" s="23">
        <f>Таблица1[[#This Row],[Цена поступления (руб. за шт.)]]*Таблица1[[#This Row],[На остатке (шт.)]]</f>
        <v>0</v>
      </c>
      <c r="G207" s="4">
        <v>20990</v>
      </c>
      <c r="H207" s="23">
        <f>Таблица1[[#This Row],[Цена реализации (руб. за шт.)]]*Таблица1[[#This Row],[На остатке (шт.)]]</f>
        <v>20990</v>
      </c>
      <c r="I207" s="27">
        <v>45049.714999999997</v>
      </c>
      <c r="J20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0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08" spans="1:11" ht="30" x14ac:dyDescent="0.25">
      <c r="A208" s="2">
        <f t="shared" si="2"/>
        <v>207</v>
      </c>
      <c r="B208" s="5" t="s">
        <v>207</v>
      </c>
      <c r="C208" s="26"/>
      <c r="D208" s="3">
        <v>1</v>
      </c>
      <c r="E208" s="4"/>
      <c r="F208" s="23">
        <f>Таблица1[[#This Row],[Цена поступления (руб. за шт.)]]*Таблица1[[#This Row],[На остатке (шт.)]]</f>
        <v>0</v>
      </c>
      <c r="G208" s="4">
        <v>7500</v>
      </c>
      <c r="H208" s="23">
        <f>Таблица1[[#This Row],[Цена реализации (руб. за шт.)]]*Таблица1[[#This Row],[На остатке (шт.)]]</f>
        <v>7500</v>
      </c>
      <c r="I208" s="27">
        <v>45049.601782407408</v>
      </c>
      <c r="J20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0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09" spans="1:11" ht="30" x14ac:dyDescent="0.25">
      <c r="A209" s="2">
        <f t="shared" si="2"/>
        <v>208</v>
      </c>
      <c r="B209" s="5" t="s">
        <v>208</v>
      </c>
      <c r="C209" s="26"/>
      <c r="D209" s="3">
        <v>1</v>
      </c>
      <c r="E209" s="4"/>
      <c r="F209" s="23">
        <f>Таблица1[[#This Row],[Цена поступления (руб. за шт.)]]*Таблица1[[#This Row],[На остатке (шт.)]]</f>
        <v>0</v>
      </c>
      <c r="G209" s="4">
        <v>20900</v>
      </c>
      <c r="H209" s="23">
        <f>Таблица1[[#This Row],[Цена реализации (руб. за шт.)]]*Таблица1[[#This Row],[На остатке (шт.)]]</f>
        <v>20900</v>
      </c>
      <c r="I209" s="27">
        <v>45049.611481481479</v>
      </c>
      <c r="J20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0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10" spans="1:11" ht="30" x14ac:dyDescent="0.25">
      <c r="A210" s="2">
        <f t="shared" si="2"/>
        <v>209</v>
      </c>
      <c r="B210" s="5" t="s">
        <v>206</v>
      </c>
      <c r="C210" s="26"/>
      <c r="D210" s="3">
        <v>1</v>
      </c>
      <c r="E210" s="4"/>
      <c r="F210" s="23">
        <f>Таблица1[[#This Row],[Цена поступления (руб. за шт.)]]*Таблица1[[#This Row],[На остатке (шт.)]]</f>
        <v>0</v>
      </c>
      <c r="G210" s="4">
        <v>7100</v>
      </c>
      <c r="H210" s="23">
        <f>Таблица1[[#This Row],[Цена реализации (руб. за шт.)]]*Таблица1[[#This Row],[На остатке (шт.)]]</f>
        <v>7100</v>
      </c>
      <c r="I210" s="27">
        <v>45049.602673611109</v>
      </c>
      <c r="J21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1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11" spans="1:11" ht="30" x14ac:dyDescent="0.25">
      <c r="A211" s="2">
        <f t="shared" si="2"/>
        <v>210</v>
      </c>
      <c r="B211" s="5" t="s">
        <v>210</v>
      </c>
      <c r="C211" s="26"/>
      <c r="D211" s="3">
        <v>1</v>
      </c>
      <c r="E211" s="4"/>
      <c r="F211" s="23">
        <f>Таблица1[[#This Row],[Цена поступления (руб. за шт.)]]*Таблица1[[#This Row],[На остатке (шт.)]]</f>
        <v>0</v>
      </c>
      <c r="G211" s="4">
        <v>6200</v>
      </c>
      <c r="H211" s="23">
        <f>Таблица1[[#This Row],[Цена реализации (руб. за шт.)]]*Таблица1[[#This Row],[На остатке (шт.)]]</f>
        <v>6200</v>
      </c>
      <c r="I211" s="27">
        <v>45058.707280092596</v>
      </c>
      <c r="J21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1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12" spans="1:11" ht="30" x14ac:dyDescent="0.25">
      <c r="A212" s="2">
        <f t="shared" si="2"/>
        <v>211</v>
      </c>
      <c r="B212" s="5" t="s">
        <v>209</v>
      </c>
      <c r="C212" s="26"/>
      <c r="D212" s="3">
        <v>1</v>
      </c>
      <c r="E212" s="4"/>
      <c r="F212" s="23">
        <f>Таблица1[[#This Row],[Цена поступления (руб. за шт.)]]*Таблица1[[#This Row],[На остатке (шт.)]]</f>
        <v>0</v>
      </c>
      <c r="G212" s="4">
        <v>20850</v>
      </c>
      <c r="H212" s="23">
        <f>Таблица1[[#This Row],[Цена реализации (руб. за шт.)]]*Таблица1[[#This Row],[На остатке (шт.)]]</f>
        <v>20850</v>
      </c>
      <c r="I212" s="27">
        <v>45049.614386574074</v>
      </c>
      <c r="J21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1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13" spans="1:11" ht="30" x14ac:dyDescent="0.25">
      <c r="A213" s="2">
        <f t="shared" si="2"/>
        <v>212</v>
      </c>
      <c r="B213" s="5" t="s">
        <v>211</v>
      </c>
      <c r="C213" s="26"/>
      <c r="D213" s="3">
        <v>1</v>
      </c>
      <c r="E213" s="4"/>
      <c r="F213" s="23">
        <f>Таблица1[[#This Row],[Цена поступления (руб. за шт.)]]*Таблица1[[#This Row],[На остатке (шт.)]]</f>
        <v>0</v>
      </c>
      <c r="G213" s="4">
        <v>19900</v>
      </c>
      <c r="H213" s="23">
        <f>Таблица1[[#This Row],[Цена реализации (руб. за шт.)]]*Таблица1[[#This Row],[На остатке (шт.)]]</f>
        <v>19900</v>
      </c>
      <c r="I213" s="27">
        <v>45049.617581018516</v>
      </c>
      <c r="J21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1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14" spans="1:11" ht="30" x14ac:dyDescent="0.25">
      <c r="A214" s="2">
        <f t="shared" si="2"/>
        <v>213</v>
      </c>
      <c r="B214" s="5" t="s">
        <v>250</v>
      </c>
      <c r="C214" s="26"/>
      <c r="D214" s="3">
        <v>3</v>
      </c>
      <c r="E214" s="4">
        <v>4550</v>
      </c>
      <c r="F214" s="23">
        <f>Таблица1[[#This Row],[Цена поступления (руб. за шт.)]]*Таблица1[[#This Row],[На остатке (шт.)]]</f>
        <v>13650</v>
      </c>
      <c r="G214" s="4">
        <v>6700</v>
      </c>
      <c r="H214" s="23">
        <f>Таблица1[[#This Row],[Цена реализации (руб. за шт.)]]*Таблица1[[#This Row],[На остатке (шт.)]]</f>
        <v>20100</v>
      </c>
      <c r="I214" s="27">
        <v>45051.639039351852</v>
      </c>
      <c r="J214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0.32089552238805968</v>
      </c>
      <c r="K214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0.47252747252747251</v>
      </c>
    </row>
    <row r="215" spans="1:11" ht="30" x14ac:dyDescent="0.25">
      <c r="A215" s="2">
        <f t="shared" si="2"/>
        <v>214</v>
      </c>
      <c r="B215" s="5" t="s">
        <v>220</v>
      </c>
      <c r="C215" s="26"/>
      <c r="D215" s="3">
        <v>1</v>
      </c>
      <c r="E215" s="4"/>
      <c r="F215" s="23">
        <f>Таблица1[[#This Row],[Цена поступления (руб. за шт.)]]*Таблица1[[#This Row],[На остатке (шт.)]]</f>
        <v>0</v>
      </c>
      <c r="G215" s="4">
        <v>10100</v>
      </c>
      <c r="H215" s="23">
        <f>Таблица1[[#This Row],[Цена реализации (руб. за шт.)]]*Таблица1[[#This Row],[На остатке (шт.)]]</f>
        <v>10100</v>
      </c>
      <c r="I215" s="27">
        <v>45049.730219907404</v>
      </c>
      <c r="J21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1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16" spans="1:11" ht="30" x14ac:dyDescent="0.25">
      <c r="A216" s="2">
        <f t="shared" si="2"/>
        <v>215</v>
      </c>
      <c r="B216" s="5" t="s">
        <v>219</v>
      </c>
      <c r="C216" s="26"/>
      <c r="D216" s="3">
        <v>1</v>
      </c>
      <c r="E216" s="4"/>
      <c r="F216" s="23">
        <f>Таблица1[[#This Row],[Цена поступления (руб. за шт.)]]*Таблица1[[#This Row],[На остатке (шт.)]]</f>
        <v>0</v>
      </c>
      <c r="G216" s="4">
        <v>7100</v>
      </c>
      <c r="H216" s="23">
        <f>Таблица1[[#This Row],[Цена реализации (руб. за шт.)]]*Таблица1[[#This Row],[На остатке (шт.)]]</f>
        <v>7100</v>
      </c>
      <c r="I216" s="27">
        <v>45049.728773148148</v>
      </c>
      <c r="J21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1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17" spans="1:11" ht="30" x14ac:dyDescent="0.25">
      <c r="A217" s="2">
        <f t="shared" si="2"/>
        <v>216</v>
      </c>
      <c r="B217" s="5" t="s">
        <v>205</v>
      </c>
      <c r="C217" s="26"/>
      <c r="D217" s="3">
        <v>0</v>
      </c>
      <c r="E217" s="4"/>
      <c r="F217" s="23">
        <f>Таблица1[[#This Row],[Цена поступления (руб. за шт.)]]*Таблица1[[#This Row],[На остатке (шт.)]]</f>
        <v>0</v>
      </c>
      <c r="G217" s="4">
        <v>9000</v>
      </c>
      <c r="H217" s="23">
        <f>Таблица1[[#This Row],[Цена реализации (руб. за шт.)]]*Таблица1[[#This Row],[На остатке (шт.)]]</f>
        <v>0</v>
      </c>
      <c r="I217" s="27">
        <v>45062.744444444441</v>
      </c>
      <c r="J21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1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18" spans="1:11" ht="30" x14ac:dyDescent="0.25">
      <c r="A218" s="2">
        <f t="shared" si="2"/>
        <v>217</v>
      </c>
      <c r="B218" s="5" t="s">
        <v>48</v>
      </c>
      <c r="C218" s="26"/>
      <c r="D218" s="3">
        <v>1</v>
      </c>
      <c r="E218" s="4"/>
      <c r="F218" s="23">
        <f>Таблица1[[#This Row],[Цена поступления (руб. за шт.)]]*Таблица1[[#This Row],[На остатке (шт.)]]</f>
        <v>0</v>
      </c>
      <c r="G218" s="4">
        <v>4600</v>
      </c>
      <c r="H218" s="23">
        <f>Таблица1[[#This Row],[Цена реализации (руб. за шт.)]]*Таблица1[[#This Row],[На остатке (шт.)]]</f>
        <v>4600</v>
      </c>
      <c r="I218" s="27">
        <v>45043.595613425925</v>
      </c>
      <c r="J21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1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19" spans="1:11" ht="30" x14ac:dyDescent="0.25">
      <c r="A219" s="2">
        <f t="shared" si="2"/>
        <v>218</v>
      </c>
      <c r="B219" s="5" t="s">
        <v>60</v>
      </c>
      <c r="C219" s="26"/>
      <c r="D219" s="3">
        <v>10</v>
      </c>
      <c r="E219" s="4">
        <v>128.99</v>
      </c>
      <c r="F219" s="23">
        <f>Таблица1[[#This Row],[Цена поступления (руб. за шт.)]]*Таблица1[[#This Row],[На остатке (шт.)]]</f>
        <v>1289.9000000000001</v>
      </c>
      <c r="G219" s="4">
        <v>200</v>
      </c>
      <c r="H219" s="23">
        <f>Таблица1[[#This Row],[Цена реализации (руб. за шт.)]]*Таблица1[[#This Row],[На остатке (шт.)]]</f>
        <v>2000</v>
      </c>
      <c r="I219" s="27">
        <v>45043.598680555559</v>
      </c>
      <c r="J21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0.35504999999999998</v>
      </c>
      <c r="K21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0.55050779130165117</v>
      </c>
    </row>
    <row r="220" spans="1:11" ht="30" x14ac:dyDescent="0.25">
      <c r="A220" s="2">
        <f t="shared" si="2"/>
        <v>219</v>
      </c>
      <c r="B220" s="5" t="s">
        <v>283</v>
      </c>
      <c r="C220" s="26"/>
      <c r="D220" s="3">
        <v>10</v>
      </c>
      <c r="E220" s="4">
        <v>127.75</v>
      </c>
      <c r="F220" s="23">
        <f>Таблица1[[#This Row],[Цена поступления (руб. за шт.)]]*Таблица1[[#This Row],[На остатке (шт.)]]</f>
        <v>1277.5</v>
      </c>
      <c r="G220" s="4">
        <v>200</v>
      </c>
      <c r="H220" s="23">
        <f>Таблица1[[#This Row],[Цена реализации (руб. за шт.)]]*Таблица1[[#This Row],[На остатке (шт.)]]</f>
        <v>2000</v>
      </c>
      <c r="I220" s="27">
        <v>45056.579745370371</v>
      </c>
      <c r="J22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0.36125000000000002</v>
      </c>
      <c r="K22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0.56555772994129161</v>
      </c>
    </row>
    <row r="221" spans="1:11" ht="45" x14ac:dyDescent="0.25">
      <c r="A221" s="2">
        <f t="shared" si="2"/>
        <v>220</v>
      </c>
      <c r="B221" s="5" t="s">
        <v>70</v>
      </c>
      <c r="C221" s="26"/>
      <c r="D221" s="3">
        <v>0</v>
      </c>
      <c r="E221" s="4">
        <v>1424.86</v>
      </c>
      <c r="F221" s="23">
        <f>Таблица1[[#This Row],[Цена поступления (руб. за шт.)]]*Таблица1[[#This Row],[На остатке (шт.)]]</f>
        <v>0</v>
      </c>
      <c r="G221" s="4">
        <v>2500</v>
      </c>
      <c r="H221" s="23">
        <f>Таблица1[[#This Row],[Цена реализации (руб. за шт.)]]*Таблица1[[#This Row],[На остатке (шт.)]]</f>
        <v>0</v>
      </c>
      <c r="I221" s="27">
        <v>45056.73232638889</v>
      </c>
      <c r="J22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0.43005600000000005</v>
      </c>
      <c r="K22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0.75455834257400745</v>
      </c>
    </row>
    <row r="222" spans="1:11" ht="45" x14ac:dyDescent="0.25">
      <c r="A222" s="2">
        <f t="shared" si="2"/>
        <v>221</v>
      </c>
      <c r="B222" s="5" t="s">
        <v>71</v>
      </c>
      <c r="C222" s="26"/>
      <c r="D222" s="3">
        <v>1</v>
      </c>
      <c r="E222" s="4">
        <v>1478.6</v>
      </c>
      <c r="F222" s="23">
        <f>Таблица1[[#This Row],[Цена поступления (руб. за шт.)]]*Таблица1[[#This Row],[На остатке (шт.)]]</f>
        <v>1478.6</v>
      </c>
      <c r="G222" s="4">
        <v>2500</v>
      </c>
      <c r="H222" s="23">
        <f>Таблица1[[#This Row],[Цена реализации (руб. за шт.)]]*Таблица1[[#This Row],[На остатке (шт.)]]</f>
        <v>2500</v>
      </c>
      <c r="I222" s="27">
        <v>45043.59883101852</v>
      </c>
      <c r="J22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0.40856000000000003</v>
      </c>
      <c r="K22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0.69078858379548236</v>
      </c>
    </row>
    <row r="223" spans="1:11" ht="30" x14ac:dyDescent="0.25">
      <c r="A223" s="2">
        <f t="shared" si="2"/>
        <v>222</v>
      </c>
      <c r="B223" s="5" t="s">
        <v>222</v>
      </c>
      <c r="C223" s="26"/>
      <c r="D223" s="3">
        <v>1</v>
      </c>
      <c r="E223" s="4"/>
      <c r="F223" s="23">
        <f>Таблица1[[#This Row],[Цена поступления (руб. за шт.)]]*Таблица1[[#This Row],[На остатке (шт.)]]</f>
        <v>0</v>
      </c>
      <c r="G223" s="4">
        <v>4500</v>
      </c>
      <c r="H223" s="23">
        <f>Таблица1[[#This Row],[Цена реализации (руб. за шт.)]]*Таблица1[[#This Row],[На остатке (шт.)]]</f>
        <v>4500</v>
      </c>
      <c r="I223" s="27">
        <v>45049.732499999998</v>
      </c>
      <c r="J22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2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24" spans="1:11" ht="30" x14ac:dyDescent="0.25">
      <c r="A224" s="2">
        <f t="shared" si="2"/>
        <v>223</v>
      </c>
      <c r="B224" s="5" t="s">
        <v>221</v>
      </c>
      <c r="C224" s="26"/>
      <c r="D224" s="3">
        <v>1</v>
      </c>
      <c r="E224" s="4"/>
      <c r="F224" s="23">
        <f>Таблица1[[#This Row],[Цена поступления (руб. за шт.)]]*Таблица1[[#This Row],[На остатке (шт.)]]</f>
        <v>0</v>
      </c>
      <c r="G224" s="4">
        <v>3500</v>
      </c>
      <c r="H224" s="23">
        <f>Таблица1[[#This Row],[Цена реализации (руб. за шт.)]]*Таблица1[[#This Row],[На остатке (шт.)]]</f>
        <v>3500</v>
      </c>
      <c r="I224" s="27">
        <v>45049.731689814813</v>
      </c>
      <c r="J22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2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25" spans="1:11" ht="30" x14ac:dyDescent="0.25">
      <c r="A225" s="2">
        <f t="shared" si="2"/>
        <v>224</v>
      </c>
      <c r="B225" s="5" t="s">
        <v>223</v>
      </c>
      <c r="C225" s="26"/>
      <c r="D225" s="3">
        <v>1</v>
      </c>
      <c r="E225" s="4"/>
      <c r="F225" s="23">
        <f>Таблица1[[#This Row],[Цена поступления (руб. за шт.)]]*Таблица1[[#This Row],[На остатке (шт.)]]</f>
        <v>0</v>
      </c>
      <c r="G225" s="4">
        <v>3300</v>
      </c>
      <c r="H225" s="23">
        <f>Таблица1[[#This Row],[Цена реализации (руб. за шт.)]]*Таблица1[[#This Row],[На остатке (шт.)]]</f>
        <v>3300</v>
      </c>
      <c r="I225" s="27">
        <v>45049.733518518522</v>
      </c>
      <c r="J22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2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26" spans="1:11" x14ac:dyDescent="0.25">
      <c r="A226" s="2">
        <f t="shared" ref="A226:A285" si="3">ROW()-1</f>
        <v>225</v>
      </c>
      <c r="B226" s="5" t="s">
        <v>224</v>
      </c>
      <c r="C226" s="26"/>
      <c r="D226" s="3">
        <v>1</v>
      </c>
      <c r="E226" s="4"/>
      <c r="F226" s="23">
        <f>Таблица1[[#This Row],[Цена поступления (руб. за шт.)]]*Таблица1[[#This Row],[На остатке (шт.)]]</f>
        <v>0</v>
      </c>
      <c r="G226" s="4">
        <v>7400</v>
      </c>
      <c r="H226" s="23">
        <f>Таблица1[[#This Row],[Цена реализации (руб. за шт.)]]*Таблица1[[#This Row],[На остатке (шт.)]]</f>
        <v>7400</v>
      </c>
      <c r="I226" s="27">
        <v>45049.734606481485</v>
      </c>
      <c r="J22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2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27" spans="1:11" ht="30" x14ac:dyDescent="0.25">
      <c r="A227" s="2">
        <f t="shared" si="3"/>
        <v>226</v>
      </c>
      <c r="B227" s="5" t="s">
        <v>72</v>
      </c>
      <c r="C227" s="26"/>
      <c r="D227" s="3">
        <v>1</v>
      </c>
      <c r="E227" s="4">
        <v>755.05</v>
      </c>
      <c r="F227" s="23">
        <f>Таблица1[[#This Row],[Цена поступления (руб. за шт.)]]*Таблица1[[#This Row],[На остатке (шт.)]]</f>
        <v>755.05</v>
      </c>
      <c r="G227" s="4">
        <v>1100</v>
      </c>
      <c r="H227" s="23">
        <f>Таблица1[[#This Row],[Цена реализации (руб. за шт.)]]*Таблица1[[#This Row],[На остатке (шт.)]]</f>
        <v>1100</v>
      </c>
      <c r="I227" s="27">
        <v>45043.59884259259</v>
      </c>
      <c r="J22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0.31359090909090914</v>
      </c>
      <c r="K22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0.45685716177736585</v>
      </c>
    </row>
    <row r="228" spans="1:11" ht="45" x14ac:dyDescent="0.25">
      <c r="A228" s="2">
        <f>ROW()-1</f>
        <v>227</v>
      </c>
      <c r="B228" s="5" t="s">
        <v>73</v>
      </c>
      <c r="C228" s="26"/>
      <c r="D228" s="3">
        <v>1</v>
      </c>
      <c r="E228" s="4">
        <v>851.65</v>
      </c>
      <c r="F228" s="23">
        <f>Таблица1[[#This Row],[Цена поступления (руб. за шт.)]]*Таблица1[[#This Row],[На остатке (шт.)]]</f>
        <v>851.65</v>
      </c>
      <c r="G228" s="4">
        <v>1200</v>
      </c>
      <c r="H228" s="23">
        <f>Таблица1[[#This Row],[Цена реализации (руб. за шт.)]]*Таблица1[[#This Row],[На остатке (шт.)]]</f>
        <v>1200</v>
      </c>
      <c r="I228" s="27">
        <v>45043.598854166667</v>
      </c>
      <c r="J22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0.29029166666666667</v>
      </c>
      <c r="K22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0.40902953091058536</v>
      </c>
    </row>
    <row r="229" spans="1:11" ht="30" x14ac:dyDescent="0.25">
      <c r="A229" s="2">
        <f>ROW()-1</f>
        <v>228</v>
      </c>
      <c r="B229" s="5" t="s">
        <v>284</v>
      </c>
      <c r="C229" s="26"/>
      <c r="D229" s="3">
        <v>2</v>
      </c>
      <c r="E229" s="4">
        <v>2315.61</v>
      </c>
      <c r="F229" s="23">
        <f>Таблица1[[#This Row],[Цена поступления (руб. за шт.)]]*Таблица1[[#This Row],[На остатке (шт.)]]</f>
        <v>4631.22</v>
      </c>
      <c r="G229" s="4">
        <v>4000</v>
      </c>
      <c r="H229" s="23">
        <f>Таблица1[[#This Row],[Цена реализации (руб. за шт.)]]*Таблица1[[#This Row],[На остатке (шт.)]]</f>
        <v>8000</v>
      </c>
      <c r="I229" s="27">
        <v>45056.580671296295</v>
      </c>
      <c r="J22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0.42109749999999996</v>
      </c>
      <c r="K22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0.72740660128432666</v>
      </c>
    </row>
    <row r="230" spans="1:11" ht="45" x14ac:dyDescent="0.25">
      <c r="A230" s="2">
        <f t="shared" si="3"/>
        <v>229</v>
      </c>
      <c r="B230" s="5" t="s">
        <v>74</v>
      </c>
      <c r="C230" s="26"/>
      <c r="D230" s="3">
        <v>7</v>
      </c>
      <c r="E230" s="4">
        <v>572</v>
      </c>
      <c r="F230" s="23">
        <f>Таблица1[[#This Row],[Цена поступления (руб. за шт.)]]*Таблица1[[#This Row],[На остатке (шт.)]]</f>
        <v>4004</v>
      </c>
      <c r="G230" s="4"/>
      <c r="H230" s="23">
        <f>Таблица1[[#This Row],[Цена реализации (руб. за шт.)]]*Таблица1[[#This Row],[На остатке (шт.)]]</f>
        <v>0</v>
      </c>
      <c r="I230" s="27">
        <v>45055.614641203705</v>
      </c>
      <c r="J23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3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31" spans="1:11" ht="45" x14ac:dyDescent="0.25">
      <c r="A231" s="2">
        <f t="shared" si="3"/>
        <v>230</v>
      </c>
      <c r="B231" s="5" t="s">
        <v>75</v>
      </c>
      <c r="C231" s="26"/>
      <c r="D231" s="3">
        <v>9</v>
      </c>
      <c r="E231" s="4">
        <v>572</v>
      </c>
      <c r="F231" s="23">
        <f>Таблица1[[#This Row],[Цена поступления (руб. за шт.)]]*Таблица1[[#This Row],[На остатке (шт.)]]</f>
        <v>5148</v>
      </c>
      <c r="G231" s="4"/>
      <c r="H231" s="23">
        <f>Таблица1[[#This Row],[Цена реализации (руб. за шт.)]]*Таблица1[[#This Row],[На остатке (шт.)]]</f>
        <v>0</v>
      </c>
      <c r="I231" s="27">
        <v>45055.614594907405</v>
      </c>
      <c r="J23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3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32" spans="1:11" ht="45" x14ac:dyDescent="0.25">
      <c r="A232" s="2">
        <f t="shared" si="3"/>
        <v>231</v>
      </c>
      <c r="B232" s="5" t="s">
        <v>76</v>
      </c>
      <c r="C232" s="26"/>
      <c r="D232" s="3">
        <v>9</v>
      </c>
      <c r="E232" s="4">
        <v>596.70000000000005</v>
      </c>
      <c r="F232" s="23">
        <f>Таблица1[[#This Row],[Цена поступления (руб. за шт.)]]*Таблица1[[#This Row],[На остатке (шт.)]]</f>
        <v>5370.3</v>
      </c>
      <c r="G232" s="4"/>
      <c r="H232" s="23">
        <f>Таблица1[[#This Row],[Цена реализации (руб. за шт.)]]*Таблица1[[#This Row],[На остатке (шт.)]]</f>
        <v>0</v>
      </c>
      <c r="I232" s="27">
        <v>45055.604328703703</v>
      </c>
      <c r="J23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3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33" spans="1:11" ht="45" x14ac:dyDescent="0.25">
      <c r="A233" s="2">
        <f t="shared" si="3"/>
        <v>232</v>
      </c>
      <c r="B233" s="5" t="s">
        <v>77</v>
      </c>
      <c r="C233" s="26"/>
      <c r="D233" s="3">
        <v>9</v>
      </c>
      <c r="E233" s="4">
        <v>596.70000000000005</v>
      </c>
      <c r="F233" s="23">
        <f>Таблица1[[#This Row],[Цена поступления (руб. за шт.)]]*Таблица1[[#This Row],[На остатке (шт.)]]</f>
        <v>5370.3</v>
      </c>
      <c r="G233" s="4"/>
      <c r="H233" s="23">
        <f>Таблица1[[#This Row],[Цена реализации (руб. за шт.)]]*Таблица1[[#This Row],[На остатке (шт.)]]</f>
        <v>0</v>
      </c>
      <c r="I233" s="27">
        <v>45055.606770833336</v>
      </c>
      <c r="J23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3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34" spans="1:11" ht="60" x14ac:dyDescent="0.25">
      <c r="A234" s="2">
        <f t="shared" si="3"/>
        <v>233</v>
      </c>
      <c r="B234" s="5" t="s">
        <v>271</v>
      </c>
      <c r="C234" s="26"/>
      <c r="D234" s="3">
        <v>1</v>
      </c>
      <c r="E234" s="4"/>
      <c r="F234" s="23">
        <f>Таблица1[[#This Row],[Цена поступления (руб. за шт.)]]*Таблица1[[#This Row],[На остатке (шт.)]]</f>
        <v>0</v>
      </c>
      <c r="G234" s="4"/>
      <c r="H234" s="23">
        <f>Таблица1[[#This Row],[Цена реализации (руб. за шт.)]]*Таблица1[[#This Row],[На остатке (шт.)]]</f>
        <v>0</v>
      </c>
      <c r="I234" s="27">
        <v>45055.608101851853</v>
      </c>
      <c r="J23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3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35" spans="1:11" x14ac:dyDescent="0.25">
      <c r="A235" s="2">
        <f t="shared" si="3"/>
        <v>234</v>
      </c>
      <c r="B235" s="5" t="s">
        <v>308</v>
      </c>
      <c r="C235" s="26"/>
      <c r="D235" s="3">
        <v>5</v>
      </c>
      <c r="E235" s="4">
        <v>810</v>
      </c>
      <c r="F235" s="23">
        <f>Таблица1[[#This Row],[Цена поступления (руб. за шт.)]]*Таблица1[[#This Row],[На остатке (шт.)]]</f>
        <v>4050</v>
      </c>
      <c r="G235" s="4">
        <v>1600</v>
      </c>
      <c r="H235" s="23">
        <f>Таблица1[[#This Row],[Цена реализации (руб. за шт.)]]*Таблица1[[#This Row],[На остатке (шт.)]]</f>
        <v>8000</v>
      </c>
      <c r="I235" s="27">
        <v>45058.446157407408</v>
      </c>
      <c r="J23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0.49375000000000002</v>
      </c>
      <c r="K23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0.97530864197530864</v>
      </c>
    </row>
    <row r="236" spans="1:11" x14ac:dyDescent="0.25">
      <c r="A236" s="2">
        <f t="shared" si="3"/>
        <v>235</v>
      </c>
      <c r="B236" s="5" t="s">
        <v>309</v>
      </c>
      <c r="C236" s="26"/>
      <c r="D236" s="3">
        <v>5</v>
      </c>
      <c r="E236" s="4">
        <v>810</v>
      </c>
      <c r="F236" s="23">
        <f>Таблица1[[#This Row],[Цена поступления (руб. за шт.)]]*Таблица1[[#This Row],[На остатке (шт.)]]</f>
        <v>4050</v>
      </c>
      <c r="G236" s="4">
        <v>1600</v>
      </c>
      <c r="H236" s="23">
        <f>Таблица1[[#This Row],[Цена реализации (руб. за шт.)]]*Таблица1[[#This Row],[На остатке (шт.)]]</f>
        <v>8000</v>
      </c>
      <c r="I236" s="27">
        <v>45058.446620370371</v>
      </c>
      <c r="J236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0.49375000000000002</v>
      </c>
      <c r="K236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0.97530864197530864</v>
      </c>
    </row>
    <row r="237" spans="1:11" x14ac:dyDescent="0.25">
      <c r="A237" s="2">
        <f t="shared" si="3"/>
        <v>236</v>
      </c>
      <c r="B237" s="5" t="s">
        <v>310</v>
      </c>
      <c r="C237" s="26"/>
      <c r="D237" s="3">
        <v>5</v>
      </c>
      <c r="E237" s="4">
        <v>935</v>
      </c>
      <c r="F237" s="23">
        <f>Таблица1[[#This Row],[Цена поступления (руб. за шт.)]]*Таблица1[[#This Row],[На остатке (шт.)]]</f>
        <v>4675</v>
      </c>
      <c r="G237" s="4">
        <v>1800</v>
      </c>
      <c r="H237" s="23">
        <f>Таблица1[[#This Row],[Цена реализации (руб. за шт.)]]*Таблица1[[#This Row],[На остатке (шт.)]]</f>
        <v>9000</v>
      </c>
      <c r="I237" s="27">
        <v>45058.447835648149</v>
      </c>
      <c r="J23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0.48055555555555557</v>
      </c>
      <c r="K23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0.92513368983957223</v>
      </c>
    </row>
    <row r="238" spans="1:11" x14ac:dyDescent="0.25">
      <c r="A238" s="2">
        <f t="shared" si="3"/>
        <v>237</v>
      </c>
      <c r="B238" s="5" t="s">
        <v>311</v>
      </c>
      <c r="C238" s="26"/>
      <c r="D238" s="3">
        <v>5</v>
      </c>
      <c r="E238" s="4">
        <v>511</v>
      </c>
      <c r="F238" s="23">
        <f>Таблица1[[#This Row],[Цена поступления (руб. за шт.)]]*Таблица1[[#This Row],[На остатке (шт.)]]</f>
        <v>2555</v>
      </c>
      <c r="G238" s="4">
        <v>1200</v>
      </c>
      <c r="H238" s="23">
        <f>Таблица1[[#This Row],[Цена реализации (руб. за шт.)]]*Таблица1[[#This Row],[На остатке (шт.)]]</f>
        <v>6000</v>
      </c>
      <c r="I238" s="27">
        <v>45058.448506944442</v>
      </c>
      <c r="J23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0.57416666666666671</v>
      </c>
      <c r="K23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1.3483365949119375</v>
      </c>
    </row>
    <row r="239" spans="1:11" x14ac:dyDescent="0.25">
      <c r="A239" s="2">
        <f t="shared" si="3"/>
        <v>238</v>
      </c>
      <c r="B239" s="5" t="s">
        <v>312</v>
      </c>
      <c r="C239" s="26"/>
      <c r="D239" s="3">
        <v>5</v>
      </c>
      <c r="E239" s="4">
        <v>511</v>
      </c>
      <c r="F239" s="23">
        <f>Таблица1[[#This Row],[Цена поступления (руб. за шт.)]]*Таблица1[[#This Row],[На остатке (шт.)]]</f>
        <v>2555</v>
      </c>
      <c r="G239" s="4">
        <v>1200</v>
      </c>
      <c r="H239" s="23">
        <f>Таблица1[[#This Row],[Цена реализации (руб. за шт.)]]*Таблица1[[#This Row],[На остатке (шт.)]]</f>
        <v>6000</v>
      </c>
      <c r="I239" s="27">
        <v>45058.448935185188</v>
      </c>
      <c r="J23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0.57416666666666671</v>
      </c>
      <c r="K23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1.3483365949119375</v>
      </c>
    </row>
    <row r="240" spans="1:11" x14ac:dyDescent="0.25">
      <c r="A240" s="2">
        <f t="shared" si="3"/>
        <v>239</v>
      </c>
      <c r="B240" s="5" t="s">
        <v>313</v>
      </c>
      <c r="C240" s="26"/>
      <c r="D240" s="3">
        <v>5</v>
      </c>
      <c r="E240" s="4">
        <v>600</v>
      </c>
      <c r="F240" s="23">
        <f>Таблица1[[#This Row],[Цена поступления (руб. за шт.)]]*Таблица1[[#This Row],[На остатке (шт.)]]</f>
        <v>3000</v>
      </c>
      <c r="G240" s="4">
        <v>1200</v>
      </c>
      <c r="H240" s="23">
        <f>Таблица1[[#This Row],[Цена реализации (руб. за шт.)]]*Таблица1[[#This Row],[На остатке (шт.)]]</f>
        <v>6000</v>
      </c>
      <c r="I240" s="27">
        <v>45058.449884259258</v>
      </c>
      <c r="J24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</v>
      </c>
      <c r="K24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</v>
      </c>
    </row>
    <row r="241" spans="1:11" x14ac:dyDescent="0.25">
      <c r="A241" s="2">
        <f t="shared" si="3"/>
        <v>240</v>
      </c>
      <c r="B241" s="5" t="s">
        <v>314</v>
      </c>
      <c r="C241" s="26"/>
      <c r="D241" s="3">
        <v>5</v>
      </c>
      <c r="E241" s="4">
        <v>600</v>
      </c>
      <c r="F241" s="23">
        <f>Таблица1[[#This Row],[Цена поступления (руб. за шт.)]]*Таблица1[[#This Row],[На остатке (шт.)]]</f>
        <v>3000</v>
      </c>
      <c r="G241" s="4">
        <v>1200</v>
      </c>
      <c r="H241" s="23">
        <f>Таблица1[[#This Row],[Цена реализации (руб. за шт.)]]*Таблица1[[#This Row],[На остатке (шт.)]]</f>
        <v>6000</v>
      </c>
      <c r="I241" s="27">
        <v>45058.450682870367</v>
      </c>
      <c r="J24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</v>
      </c>
      <c r="K24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</v>
      </c>
    </row>
    <row r="242" spans="1:11" ht="30" x14ac:dyDescent="0.25">
      <c r="A242" s="2">
        <f t="shared" si="3"/>
        <v>241</v>
      </c>
      <c r="B242" s="5" t="s">
        <v>269</v>
      </c>
      <c r="C242" s="26"/>
      <c r="D242" s="3">
        <v>12</v>
      </c>
      <c r="E242" s="4"/>
      <c r="F242" s="23">
        <f>Таблица1[[#This Row],[Цена поступления (руб. за шт.)]]*Таблица1[[#This Row],[На остатке (шт.)]]</f>
        <v>0</v>
      </c>
      <c r="G242" s="4"/>
      <c r="H242" s="23">
        <f>Таблица1[[#This Row],[Цена реализации (руб. за шт.)]]*Таблица1[[#This Row],[На остатке (шт.)]]</f>
        <v>0</v>
      </c>
      <c r="I242" s="27">
        <v>45055.639722222222</v>
      </c>
      <c r="J24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4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43" spans="1:11" ht="30" x14ac:dyDescent="0.25">
      <c r="A243" s="2">
        <f t="shared" si="3"/>
        <v>242</v>
      </c>
      <c r="B243" s="5" t="s">
        <v>268</v>
      </c>
      <c r="C243" s="26"/>
      <c r="D243" s="3">
        <v>15</v>
      </c>
      <c r="E243" s="4"/>
      <c r="F243" s="23">
        <f>Таблица1[[#This Row],[Цена поступления (руб. за шт.)]]*Таблица1[[#This Row],[На остатке (шт.)]]</f>
        <v>0</v>
      </c>
      <c r="G243" s="4"/>
      <c r="H243" s="23">
        <f>Таблица1[[#This Row],[Цена реализации (руб. за шт.)]]*Таблица1[[#This Row],[На остатке (шт.)]]</f>
        <v>0</v>
      </c>
      <c r="I243" s="27">
        <v>45055.673993055556</v>
      </c>
      <c r="J24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4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44" spans="1:11" ht="30" x14ac:dyDescent="0.25">
      <c r="A244" s="2">
        <f t="shared" si="3"/>
        <v>243</v>
      </c>
      <c r="B244" s="5" t="s">
        <v>273</v>
      </c>
      <c r="C244" s="26"/>
      <c r="D244" s="3">
        <v>10</v>
      </c>
      <c r="E244" s="4"/>
      <c r="F244" s="23">
        <f>Таблица1[[#This Row],[Цена поступления (руб. за шт.)]]*Таблица1[[#This Row],[На остатке (шт.)]]</f>
        <v>0</v>
      </c>
      <c r="G244" s="4"/>
      <c r="H244" s="23">
        <f>Таблица1[[#This Row],[Цена реализации (руб. за шт.)]]*Таблица1[[#This Row],[На остатке (шт.)]]</f>
        <v>0</v>
      </c>
      <c r="I244" s="27">
        <v>45055.664722222224</v>
      </c>
      <c r="J24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4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45" spans="1:11" ht="30" x14ac:dyDescent="0.25">
      <c r="A245" s="2"/>
      <c r="B245" s="5" t="s">
        <v>274</v>
      </c>
      <c r="C245" s="26"/>
      <c r="D245" s="3">
        <v>20</v>
      </c>
      <c r="E245" s="4"/>
      <c r="F245" s="23">
        <f>Таблица1[[#This Row],[Цена поступления (руб. за шт.)]]*Таблица1[[#This Row],[На остатке (шт.)]]</f>
        <v>0</v>
      </c>
      <c r="G245" s="4"/>
      <c r="H245" s="23">
        <f>Таблица1[[#This Row],[Цена реализации (руб. за шт.)]]*Таблица1[[#This Row],[На остатке (шт.)]]</f>
        <v>0</v>
      </c>
      <c r="I245" s="27">
        <v>45056.423645833333</v>
      </c>
      <c r="J24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4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46" spans="1:11" ht="30" x14ac:dyDescent="0.25">
      <c r="A246" s="2">
        <f t="shared" si="3"/>
        <v>245</v>
      </c>
      <c r="B246" s="5" t="s">
        <v>272</v>
      </c>
      <c r="C246" s="26"/>
      <c r="D246" s="3">
        <v>6</v>
      </c>
      <c r="E246" s="4"/>
      <c r="F246" s="23">
        <f>Таблица1[[#This Row],[Цена поступления (руб. за шт.)]]*Таблица1[[#This Row],[На остатке (шт.)]]</f>
        <v>0</v>
      </c>
      <c r="G246" s="4"/>
      <c r="H246" s="23">
        <f>Таблица1[[#This Row],[Цена реализации (руб. за шт.)]]*Таблица1[[#This Row],[На остатке (шт.)]]</f>
        <v>0</v>
      </c>
      <c r="I246" s="27">
        <v>45055.648344907408</v>
      </c>
      <c r="J24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4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47" spans="1:11" ht="30" x14ac:dyDescent="0.25">
      <c r="A247" s="2">
        <f t="shared" si="3"/>
        <v>246</v>
      </c>
      <c r="B247" s="5" t="s">
        <v>275</v>
      </c>
      <c r="C247" s="26"/>
      <c r="D247" s="3">
        <v>26</v>
      </c>
      <c r="E247" s="4"/>
      <c r="F247" s="23">
        <f>Таблица1[[#This Row],[Цена поступления (руб. за шт.)]]*Таблица1[[#This Row],[На остатке (шт.)]]</f>
        <v>0</v>
      </c>
      <c r="G247" s="4"/>
      <c r="H247" s="23">
        <f>Таблица1[[#This Row],[Цена реализации (руб. за шт.)]]*Таблица1[[#This Row],[На остатке (шт.)]]</f>
        <v>0</v>
      </c>
      <c r="I247" s="27">
        <v>45056.425219907411</v>
      </c>
      <c r="J24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4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48" spans="1:11" x14ac:dyDescent="0.25">
      <c r="A248" s="2">
        <f t="shared" si="3"/>
        <v>247</v>
      </c>
      <c r="B248" s="5" t="s">
        <v>270</v>
      </c>
      <c r="C248" s="26"/>
      <c r="D248" s="3">
        <v>1</v>
      </c>
      <c r="E248" s="4"/>
      <c r="F248" s="23">
        <f>Таблица1[[#This Row],[Цена поступления (руб. за шт.)]]*Таблица1[[#This Row],[На остатке (шт.)]]</f>
        <v>0</v>
      </c>
      <c r="G248" s="4">
        <v>1700</v>
      </c>
      <c r="H248" s="23">
        <f>Таблица1[[#This Row],[Цена реализации (руб. за шт.)]]*Таблица1[[#This Row],[На остатке (шт.)]]</f>
        <v>1700</v>
      </c>
      <c r="I248" s="27">
        <v>45055.589050925926</v>
      </c>
      <c r="J24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4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49" spans="1:11" ht="30" x14ac:dyDescent="0.25">
      <c r="A249" s="2">
        <f t="shared" si="3"/>
        <v>248</v>
      </c>
      <c r="B249" s="5" t="s">
        <v>78</v>
      </c>
      <c r="C249" s="26"/>
      <c r="D249" s="3">
        <v>12</v>
      </c>
      <c r="E249" s="4">
        <v>459.46</v>
      </c>
      <c r="F249" s="23">
        <f>Таблица1[[#This Row],[Цена поступления (руб. за шт.)]]*Таблица1[[#This Row],[На остатке (шт.)]]</f>
        <v>5513.5199999999995</v>
      </c>
      <c r="G249" s="4">
        <v>650</v>
      </c>
      <c r="H249" s="23">
        <f>Таблица1[[#This Row],[Цена реализации (руб. за шт.)]]*Таблица1[[#This Row],[На остатке (шт.)]]</f>
        <v>7800</v>
      </c>
      <c r="I249" s="27">
        <v>45043.598912037036</v>
      </c>
      <c r="J24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0.29313846153846157</v>
      </c>
      <c r="K24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0.4147042179950377</v>
      </c>
    </row>
    <row r="250" spans="1:11" ht="30" x14ac:dyDescent="0.25">
      <c r="A250" s="2">
        <f t="shared" si="3"/>
        <v>249</v>
      </c>
      <c r="B250" s="5" t="s">
        <v>79</v>
      </c>
      <c r="C250" s="26"/>
      <c r="D250" s="3">
        <v>12</v>
      </c>
      <c r="E250" s="4">
        <v>338.13</v>
      </c>
      <c r="F250" s="23">
        <f>Таблица1[[#This Row],[Цена поступления (руб. за шт.)]]*Таблица1[[#This Row],[На остатке (шт.)]]</f>
        <v>4057.56</v>
      </c>
      <c r="G250" s="4">
        <v>450</v>
      </c>
      <c r="H250" s="23">
        <f>Таблица1[[#This Row],[Цена реализации (руб. за шт.)]]*Таблица1[[#This Row],[На остатке (шт.)]]</f>
        <v>5400</v>
      </c>
      <c r="I250" s="27">
        <v>45043.598935185182</v>
      </c>
      <c r="J25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0.24860000000000002</v>
      </c>
      <c r="K25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0.33084908171413363</v>
      </c>
    </row>
    <row r="251" spans="1:11" ht="30" x14ac:dyDescent="0.25">
      <c r="A251" s="2">
        <f t="shared" si="3"/>
        <v>250</v>
      </c>
      <c r="B251" s="5" t="s">
        <v>80</v>
      </c>
      <c r="C251" s="26"/>
      <c r="D251" s="3">
        <v>12</v>
      </c>
      <c r="E251" s="4">
        <v>317.25</v>
      </c>
      <c r="F251" s="23">
        <f>Таблица1[[#This Row],[Цена поступления (руб. за шт.)]]*Таблица1[[#This Row],[На остатке (шт.)]]</f>
        <v>3807</v>
      </c>
      <c r="G251" s="4">
        <v>450</v>
      </c>
      <c r="H251" s="23">
        <f>Таблица1[[#This Row],[Цена реализации (руб. за шт.)]]*Таблица1[[#This Row],[На остатке (шт.)]]</f>
        <v>5400</v>
      </c>
      <c r="I251" s="27">
        <v>45043.598958333336</v>
      </c>
      <c r="J25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0.29499999999999998</v>
      </c>
      <c r="K25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0.41843971631205673</v>
      </c>
    </row>
    <row r="252" spans="1:11" ht="30" x14ac:dyDescent="0.25">
      <c r="A252" s="2">
        <f t="shared" si="3"/>
        <v>251</v>
      </c>
      <c r="B252" s="5" t="s">
        <v>164</v>
      </c>
      <c r="C252" s="26"/>
      <c r="D252" s="3">
        <v>1</v>
      </c>
      <c r="E252" s="4"/>
      <c r="F252" s="23">
        <f>Таблица1[[#This Row],[Цена поступления (руб. за шт.)]]*Таблица1[[#This Row],[На остатке (шт.)]]</f>
        <v>0</v>
      </c>
      <c r="G252" s="4">
        <v>6700</v>
      </c>
      <c r="H252" s="23">
        <f>Таблица1[[#This Row],[Цена реализации (руб. за шт.)]]*Таблица1[[#This Row],[На остатке (шт.)]]</f>
        <v>6700</v>
      </c>
      <c r="I252" s="27">
        <v>45044.730127314811</v>
      </c>
      <c r="J25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5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53" spans="1:11" ht="30" x14ac:dyDescent="0.25">
      <c r="A253" s="2">
        <f t="shared" si="3"/>
        <v>252</v>
      </c>
      <c r="B253" s="5" t="s">
        <v>166</v>
      </c>
      <c r="C253" s="26"/>
      <c r="D253" s="3">
        <v>1</v>
      </c>
      <c r="E253" s="4"/>
      <c r="F253" s="23">
        <f>Таблица1[[#This Row],[Цена поступления (руб. за шт.)]]*Таблица1[[#This Row],[На остатке (шт.)]]</f>
        <v>0</v>
      </c>
      <c r="G253" s="4">
        <v>8500</v>
      </c>
      <c r="H253" s="23">
        <f>Таблица1[[#This Row],[Цена реализации (руб. за шт.)]]*Таблица1[[#This Row],[На остатке (шт.)]]</f>
        <v>8500</v>
      </c>
      <c r="I253" s="27">
        <v>45044.73228009259</v>
      </c>
      <c r="J25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5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54" spans="1:11" ht="31.5" customHeight="1" x14ac:dyDescent="0.25">
      <c r="A254" s="2">
        <f t="shared" si="3"/>
        <v>253</v>
      </c>
      <c r="B254" s="5" t="s">
        <v>233</v>
      </c>
      <c r="C254" s="26"/>
      <c r="D254" s="3">
        <v>1</v>
      </c>
      <c r="E254" s="4"/>
      <c r="F254" s="23">
        <f>Таблица1[[#This Row],[Цена поступления (руб. за шт.)]]*Таблица1[[#This Row],[На остатке (шт.)]]</f>
        <v>0</v>
      </c>
      <c r="G254" s="4">
        <v>2500</v>
      </c>
      <c r="H254" s="23">
        <f>Таблица1[[#This Row],[Цена реализации (руб. за шт.)]]*Таблица1[[#This Row],[На остатке (шт.)]]</f>
        <v>2500</v>
      </c>
      <c r="I254" s="27">
        <v>45050.499178240738</v>
      </c>
      <c r="J25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5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55" spans="1:11" ht="29.25" customHeight="1" x14ac:dyDescent="0.25">
      <c r="A255" s="2">
        <f t="shared" si="3"/>
        <v>254</v>
      </c>
      <c r="B255" s="5" t="s">
        <v>232</v>
      </c>
      <c r="C255" s="26"/>
      <c r="D255" s="3">
        <v>1</v>
      </c>
      <c r="E255" s="4"/>
      <c r="F255" s="23">
        <f>Таблица1[[#This Row],[Цена поступления (руб. за шт.)]]*Таблица1[[#This Row],[На остатке (шт.)]]</f>
        <v>0</v>
      </c>
      <c r="G255" s="4">
        <v>3900</v>
      </c>
      <c r="H255" s="23">
        <f>Таблица1[[#This Row],[Цена реализации (руб. за шт.)]]*Таблица1[[#This Row],[На остатке (шт.)]]</f>
        <v>3900</v>
      </c>
      <c r="I255" s="27">
        <v>45050.50372685185</v>
      </c>
      <c r="J25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5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56" spans="1:11" ht="30" x14ac:dyDescent="0.25">
      <c r="A256" s="2">
        <f t="shared" si="3"/>
        <v>255</v>
      </c>
      <c r="B256" s="5" t="s">
        <v>234</v>
      </c>
      <c r="C256" s="26"/>
      <c r="D256" s="3">
        <v>1</v>
      </c>
      <c r="E256" s="4"/>
      <c r="F256" s="23">
        <f>Таблица1[[#This Row],[Цена поступления (руб. за шт.)]]*Таблица1[[#This Row],[На остатке (шт.)]]</f>
        <v>0</v>
      </c>
      <c r="G256" s="4">
        <v>2400</v>
      </c>
      <c r="H256" s="23">
        <f>Таблица1[[#This Row],[Цена реализации (руб. за шт.)]]*Таблица1[[#This Row],[На остатке (шт.)]]</f>
        <v>2400</v>
      </c>
      <c r="I256" s="27">
        <v>45050.660671296297</v>
      </c>
      <c r="J25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5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57" spans="1:11" ht="45.75" customHeight="1" x14ac:dyDescent="0.25">
      <c r="A257" s="2">
        <f t="shared" si="3"/>
        <v>256</v>
      </c>
      <c r="B257" s="5" t="s">
        <v>244</v>
      </c>
      <c r="C257" s="26"/>
      <c r="D257" s="3">
        <v>1</v>
      </c>
      <c r="E257" s="4">
        <v>3579</v>
      </c>
      <c r="F257" s="23">
        <f>Таблица1[[#This Row],[Цена поступления (руб. за шт.)]]*Таблица1[[#This Row],[На остатке (шт.)]]</f>
        <v>3579</v>
      </c>
      <c r="G257" s="4">
        <v>4900</v>
      </c>
      <c r="H257" s="23">
        <f>Таблица1[[#This Row],[Цена реализации (руб. за шт.)]]*Таблица1[[#This Row],[На остатке (шт.)]]</f>
        <v>4900</v>
      </c>
      <c r="I257" s="27">
        <v>45051.593159722222</v>
      </c>
      <c r="J25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0.26959183673469389</v>
      </c>
      <c r="K25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0.36909751327186363</v>
      </c>
    </row>
    <row r="258" spans="1:11" ht="45" x14ac:dyDescent="0.25">
      <c r="A258" s="2">
        <f t="shared" si="3"/>
        <v>257</v>
      </c>
      <c r="B258" s="5" t="s">
        <v>295</v>
      </c>
      <c r="C258" s="26"/>
      <c r="D258" s="3">
        <v>1</v>
      </c>
      <c r="E258" s="4"/>
      <c r="F258" s="23">
        <f>Таблица1[[#This Row],[Цена поступления (руб. за шт.)]]*Таблица1[[#This Row],[На остатке (шт.)]]</f>
        <v>0</v>
      </c>
      <c r="G258" s="4">
        <v>10500</v>
      </c>
      <c r="H258" s="23">
        <f>Таблица1[[#This Row],[Цена реализации (руб. за шт.)]]*Таблица1[[#This Row],[На остатке (шт.)]]</f>
        <v>10500</v>
      </c>
      <c r="I258" s="27">
        <v>45050.661168981482</v>
      </c>
      <c r="J25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58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59" spans="1:11" ht="30" x14ac:dyDescent="0.25">
      <c r="A259" s="2">
        <f t="shared" si="3"/>
        <v>258</v>
      </c>
      <c r="B259" s="5" t="s">
        <v>296</v>
      </c>
      <c r="C259" s="26"/>
      <c r="D259" s="3">
        <v>1</v>
      </c>
      <c r="E259" s="4"/>
      <c r="F259" s="23">
        <f>Таблица1[[#This Row],[Цена поступления (руб. за шт.)]]*Таблица1[[#This Row],[На остатке (шт.)]]</f>
        <v>0</v>
      </c>
      <c r="G259" s="4">
        <v>1500</v>
      </c>
      <c r="H259" s="23">
        <f>Таблица1[[#This Row],[Цена реализации (руб. за шт.)]]*Таблица1[[#This Row],[На остатке (шт.)]]</f>
        <v>1500</v>
      </c>
      <c r="I259" s="27">
        <v>45057.409803240742</v>
      </c>
      <c r="J25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59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60" spans="1:11" ht="30" x14ac:dyDescent="0.25">
      <c r="A260" s="2">
        <f t="shared" si="3"/>
        <v>259</v>
      </c>
      <c r="B260" s="5" t="s">
        <v>297</v>
      </c>
      <c r="C260" s="26"/>
      <c r="D260" s="3">
        <v>1</v>
      </c>
      <c r="E260" s="4"/>
      <c r="F260" s="23">
        <f>Таблица1[[#This Row],[Цена поступления (руб. за шт.)]]*Таблица1[[#This Row],[На остатке (шт.)]]</f>
        <v>0</v>
      </c>
      <c r="G260" s="4">
        <v>1500</v>
      </c>
      <c r="H260" s="23">
        <f>Таблица1[[#This Row],[Цена реализации (руб. за шт.)]]*Таблица1[[#This Row],[На остатке (шт.)]]</f>
        <v>1500</v>
      </c>
      <c r="I260" s="27">
        <v>45057.410312499997</v>
      </c>
      <c r="J26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6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61" spans="1:11" x14ac:dyDescent="0.25">
      <c r="A261" s="2">
        <f t="shared" si="3"/>
        <v>260</v>
      </c>
      <c r="B261" s="5" t="s">
        <v>298</v>
      </c>
      <c r="C261" s="26"/>
      <c r="D261" s="3">
        <v>1</v>
      </c>
      <c r="E261" s="4"/>
      <c r="F261" s="23">
        <f>Таблица1[[#This Row],[Цена поступления (руб. за шт.)]]*Таблица1[[#This Row],[На остатке (шт.)]]</f>
        <v>0</v>
      </c>
      <c r="G261" s="4">
        <v>2500</v>
      </c>
      <c r="H261" s="23">
        <f>Таблица1[[#This Row],[Цена реализации (руб. за шт.)]]*Таблица1[[#This Row],[На остатке (шт.)]]</f>
        <v>2500</v>
      </c>
      <c r="I261" s="27">
        <v>45057.410694444443</v>
      </c>
      <c r="J26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6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62" spans="1:11" x14ac:dyDescent="0.25">
      <c r="A262" s="2">
        <f t="shared" si="3"/>
        <v>261</v>
      </c>
      <c r="B262" s="5" t="s">
        <v>299</v>
      </c>
      <c r="C262" s="26"/>
      <c r="D262" s="3">
        <v>1</v>
      </c>
      <c r="E262" s="4"/>
      <c r="F262" s="23">
        <f>Таблица1[[#This Row],[Цена поступления (руб. за шт.)]]*Таблица1[[#This Row],[На остатке (шт.)]]</f>
        <v>0</v>
      </c>
      <c r="G262" s="4">
        <v>3200</v>
      </c>
      <c r="H262" s="23">
        <f>Таблица1[[#This Row],[Цена реализации (руб. за шт.)]]*Таблица1[[#This Row],[На остатке (шт.)]]</f>
        <v>3200</v>
      </c>
      <c r="I262" s="27">
        <v>45057.411030092589</v>
      </c>
      <c r="J26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6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63" spans="1:11" x14ac:dyDescent="0.25">
      <c r="A263" s="2">
        <f t="shared" si="3"/>
        <v>262</v>
      </c>
      <c r="B263" s="5" t="s">
        <v>300</v>
      </c>
      <c r="C263" s="26"/>
      <c r="D263" s="3">
        <v>1</v>
      </c>
      <c r="E263" s="4"/>
      <c r="F263" s="23">
        <f>Таблица1[[#This Row],[Цена поступления (руб. за шт.)]]*Таблица1[[#This Row],[На остатке (шт.)]]</f>
        <v>0</v>
      </c>
      <c r="G263" s="4">
        <v>2500</v>
      </c>
      <c r="H263" s="23">
        <f>Таблица1[[#This Row],[Цена реализации (руб. за шт.)]]*Таблица1[[#This Row],[На остатке (шт.)]]</f>
        <v>2500</v>
      </c>
      <c r="I263" s="27">
        <v>45057.411608796298</v>
      </c>
      <c r="J26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6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64" spans="1:11" x14ac:dyDescent="0.25">
      <c r="A264" s="2">
        <f t="shared" si="3"/>
        <v>263</v>
      </c>
      <c r="B264" s="5" t="s">
        <v>301</v>
      </c>
      <c r="C264" s="26"/>
      <c r="D264" s="3">
        <v>1</v>
      </c>
      <c r="E264" s="4"/>
      <c r="F264" s="23">
        <f>Таблица1[[#This Row],[Цена поступления (руб. за шт.)]]*Таблица1[[#This Row],[На остатке (шт.)]]</f>
        <v>0</v>
      </c>
      <c r="G264" s="4">
        <v>4500</v>
      </c>
      <c r="H264" s="23">
        <f>Таблица1[[#This Row],[Цена реализации (руб. за шт.)]]*Таблица1[[#This Row],[На остатке (шт.)]]</f>
        <v>4500</v>
      </c>
      <c r="I264" s="27">
        <v>45057.411620370367</v>
      </c>
      <c r="J26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64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65" spans="1:11" ht="30" x14ac:dyDescent="0.25">
      <c r="A265" s="2">
        <f t="shared" si="3"/>
        <v>264</v>
      </c>
      <c r="B265" s="5" t="s">
        <v>246</v>
      </c>
      <c r="C265" s="26"/>
      <c r="D265" s="3">
        <v>1</v>
      </c>
      <c r="E265" s="4">
        <v>10336</v>
      </c>
      <c r="F265" s="23">
        <f>Таблица1[[#This Row],[Цена поступления (руб. за шт.)]]*Таблица1[[#This Row],[На остатке (шт.)]]</f>
        <v>10336</v>
      </c>
      <c r="G265" s="4">
        <v>13400</v>
      </c>
      <c r="H265" s="23">
        <f>Таблица1[[#This Row],[Цена реализации (руб. за шт.)]]*Таблица1[[#This Row],[На остатке (шт.)]]</f>
        <v>13400</v>
      </c>
      <c r="I265" s="27">
        <v>45051.606932870367</v>
      </c>
      <c r="J26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0.22865671641791044</v>
      </c>
      <c r="K26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0.29643962848297212</v>
      </c>
    </row>
    <row r="266" spans="1:11" ht="30" x14ac:dyDescent="0.25">
      <c r="A266" s="2">
        <f t="shared" si="3"/>
        <v>265</v>
      </c>
      <c r="B266" s="5" t="s">
        <v>249</v>
      </c>
      <c r="C266" s="26"/>
      <c r="D266" s="3">
        <v>20</v>
      </c>
      <c r="E266" s="4">
        <v>250</v>
      </c>
      <c r="F266" s="23">
        <f>Таблица1[[#This Row],[Цена поступления (руб. за шт.)]]*Таблица1[[#This Row],[На остатке (шт.)]]</f>
        <v>5000</v>
      </c>
      <c r="G266" s="4">
        <v>850</v>
      </c>
      <c r="H266" s="23">
        <f>Таблица1[[#This Row],[Цена реализации (руб. за шт.)]]*Таблица1[[#This Row],[На остатке (шт.)]]</f>
        <v>17000</v>
      </c>
      <c r="I266" s="27">
        <v>45051.635995370372</v>
      </c>
      <c r="J266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0.70588235294117652</v>
      </c>
      <c r="K266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2.4</v>
      </c>
    </row>
    <row r="267" spans="1:11" ht="30" x14ac:dyDescent="0.25">
      <c r="A267" s="2">
        <f t="shared" si="3"/>
        <v>266</v>
      </c>
      <c r="B267" s="5" t="s">
        <v>254</v>
      </c>
      <c r="C267" s="26"/>
      <c r="D267" s="3">
        <v>84</v>
      </c>
      <c r="E267" s="4">
        <v>200</v>
      </c>
      <c r="F267" s="23">
        <f>Таблица1[[#This Row],[Цена поступления (руб. за шт.)]]*Таблица1[[#This Row],[На остатке (шт.)]]</f>
        <v>16800</v>
      </c>
      <c r="G267" s="4">
        <v>450</v>
      </c>
      <c r="H267" s="23">
        <f>Таблица1[[#This Row],[Цена реализации (руб. за шт.)]]*Таблица1[[#This Row],[На остатке (шт.)]]</f>
        <v>37800</v>
      </c>
      <c r="I267" s="27">
        <v>45058.420162037037</v>
      </c>
      <c r="J26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0.55555555555555558</v>
      </c>
      <c r="K26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1.25</v>
      </c>
    </row>
    <row r="268" spans="1:11" ht="33" customHeight="1" x14ac:dyDescent="0.25">
      <c r="A268" s="2">
        <f t="shared" si="3"/>
        <v>267</v>
      </c>
      <c r="B268" s="5" t="s">
        <v>303</v>
      </c>
      <c r="C268" s="26"/>
      <c r="D268" s="3">
        <v>27</v>
      </c>
      <c r="E268" s="4">
        <v>250</v>
      </c>
      <c r="F268" s="23">
        <f>Таблица1[[#This Row],[Цена поступления (руб. за шт.)]]*Таблица1[[#This Row],[На остатке (шт.)]]</f>
        <v>6750</v>
      </c>
      <c r="G268" s="4">
        <v>500</v>
      </c>
      <c r="H268" s="23">
        <f>Таблица1[[#This Row],[Цена реализации (руб. за шт.)]]*Таблица1[[#This Row],[На остатке (шт.)]]</f>
        <v>13500</v>
      </c>
      <c r="I268" s="27">
        <v>45058.421111111114</v>
      </c>
      <c r="J26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</v>
      </c>
      <c r="K26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</v>
      </c>
    </row>
    <row r="269" spans="1:11" ht="33" customHeight="1" x14ac:dyDescent="0.25">
      <c r="A269" s="2">
        <f t="shared" si="3"/>
        <v>268</v>
      </c>
      <c r="B269" s="5" t="s">
        <v>304</v>
      </c>
      <c r="C269" s="26"/>
      <c r="D269" s="3">
        <v>36</v>
      </c>
      <c r="E269" s="4">
        <v>220</v>
      </c>
      <c r="F269" s="23">
        <f>Таблица1[[#This Row],[Цена поступления (руб. за шт.)]]*Таблица1[[#This Row],[На остатке (шт.)]]</f>
        <v>7920</v>
      </c>
      <c r="G269" s="4">
        <v>450</v>
      </c>
      <c r="H269" s="23">
        <f>Таблица1[[#This Row],[Цена реализации (руб. за шт.)]]*Таблица1[[#This Row],[На остатке (шт.)]]</f>
        <v>16200</v>
      </c>
      <c r="I269" s="27">
        <v>45058.421678240738</v>
      </c>
      <c r="J26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0.51111111111111107</v>
      </c>
      <c r="K26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1.0454545454545454</v>
      </c>
    </row>
    <row r="270" spans="1:11" ht="33" customHeight="1" x14ac:dyDescent="0.25">
      <c r="A270" s="2">
        <f t="shared" si="3"/>
        <v>269</v>
      </c>
      <c r="B270" s="5" t="s">
        <v>305</v>
      </c>
      <c r="C270" s="26"/>
      <c r="D270" s="3">
        <v>24</v>
      </c>
      <c r="E270" s="4">
        <v>230</v>
      </c>
      <c r="F270" s="23">
        <f>Таблица1[[#This Row],[Цена поступления (руб. за шт.)]]*Таблица1[[#This Row],[На остатке (шт.)]]</f>
        <v>5520</v>
      </c>
      <c r="G270" s="4">
        <v>450</v>
      </c>
      <c r="H270" s="23">
        <f>Таблица1[[#This Row],[Цена реализации (руб. за шт.)]]*Таблица1[[#This Row],[На остатке (шт.)]]</f>
        <v>10800</v>
      </c>
      <c r="I270" s="27">
        <v>45058.423668981479</v>
      </c>
      <c r="J27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0.48888888888888887</v>
      </c>
      <c r="K27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0.95652173913043481</v>
      </c>
    </row>
    <row r="271" spans="1:11" ht="33" customHeight="1" x14ac:dyDescent="0.25">
      <c r="A271" s="2">
        <f t="shared" si="3"/>
        <v>270</v>
      </c>
      <c r="B271" s="5" t="s">
        <v>306</v>
      </c>
      <c r="C271" s="26"/>
      <c r="D271" s="3">
        <v>12</v>
      </c>
      <c r="E271" s="4">
        <v>290</v>
      </c>
      <c r="F271" s="23">
        <f>Таблица1[[#This Row],[Цена поступления (руб. за шт.)]]*Таблица1[[#This Row],[На остатке (шт.)]]</f>
        <v>3480</v>
      </c>
      <c r="G271" s="4">
        <v>490</v>
      </c>
      <c r="H271" s="23">
        <f>Таблица1[[#This Row],[Цена реализации (руб. за шт.)]]*Таблица1[[#This Row],[На остатке (шт.)]]</f>
        <v>5880</v>
      </c>
      <c r="I271" s="27">
        <v>45058.424212962964</v>
      </c>
      <c r="J27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0.40816326530612246</v>
      </c>
      <c r="K271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0.68965517241379315</v>
      </c>
    </row>
    <row r="272" spans="1:11" ht="33" customHeight="1" x14ac:dyDescent="0.25">
      <c r="A272" s="2">
        <f t="shared" si="3"/>
        <v>271</v>
      </c>
      <c r="B272" s="5" t="s">
        <v>307</v>
      </c>
      <c r="C272" s="26"/>
      <c r="D272" s="3">
        <v>45</v>
      </c>
      <c r="E272" s="4">
        <v>90</v>
      </c>
      <c r="F272" s="23">
        <f>Таблица1[[#This Row],[Цена поступления (руб. за шт.)]]*Таблица1[[#This Row],[На остатке (шт.)]]</f>
        <v>4050</v>
      </c>
      <c r="G272" s="4">
        <v>300</v>
      </c>
      <c r="H272" s="23">
        <f>Таблица1[[#This Row],[Цена реализации (руб. за шт.)]]*Таблица1[[#This Row],[На остатке (шт.)]]</f>
        <v>13500</v>
      </c>
      <c r="I272" s="27">
        <v>45059.698912037034</v>
      </c>
      <c r="J27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0.7</v>
      </c>
      <c r="K272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2.3333333333333335</v>
      </c>
    </row>
    <row r="273" spans="1:11" ht="48.75" customHeight="1" x14ac:dyDescent="0.25">
      <c r="A273" s="2">
        <f t="shared" si="3"/>
        <v>272</v>
      </c>
      <c r="B273" s="5" t="s">
        <v>315</v>
      </c>
      <c r="C273" s="26"/>
      <c r="D273" s="3">
        <v>48</v>
      </c>
      <c r="E273" s="4">
        <v>110</v>
      </c>
      <c r="F273" s="23">
        <f>Таблица1[[#This Row],[Цена поступления (руб. за шт.)]]*Таблица1[[#This Row],[На остатке (шт.)]]</f>
        <v>5280</v>
      </c>
      <c r="G273" s="4">
        <v>280</v>
      </c>
      <c r="H273" s="23">
        <f>Таблица1[[#This Row],[Цена реализации (руб. за шт.)]]*Таблица1[[#This Row],[На остатке (шт.)]]</f>
        <v>13440</v>
      </c>
      <c r="I273" s="27">
        <v>45058.45175925926</v>
      </c>
      <c r="J273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0.6071428571428571</v>
      </c>
      <c r="K273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1.5454545454545454</v>
      </c>
    </row>
    <row r="274" spans="1:11" ht="48.75" customHeight="1" x14ac:dyDescent="0.25">
      <c r="A274" s="2">
        <f t="shared" si="3"/>
        <v>273</v>
      </c>
      <c r="B274" s="5" t="s">
        <v>316</v>
      </c>
      <c r="C274" s="26"/>
      <c r="D274" s="3">
        <v>48</v>
      </c>
      <c r="E274" s="4">
        <v>185</v>
      </c>
      <c r="F274" s="23">
        <f>Таблица1[[#This Row],[Цена поступления (руб. за шт.)]]*Таблица1[[#This Row],[На остатке (шт.)]]</f>
        <v>8880</v>
      </c>
      <c r="G274" s="4">
        <v>400</v>
      </c>
      <c r="H274" s="23">
        <f>Таблица1[[#This Row],[Цена реализации (руб. за шт.)]]*Таблица1[[#This Row],[На остатке (шт.)]]</f>
        <v>19200</v>
      </c>
      <c r="I274" s="27">
        <v>45058.452187499999</v>
      </c>
      <c r="J274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0.53749999999999998</v>
      </c>
      <c r="K274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1.1621621621621621</v>
      </c>
    </row>
    <row r="275" spans="1:11" ht="30" x14ac:dyDescent="0.25">
      <c r="A275" s="2">
        <f t="shared" si="3"/>
        <v>274</v>
      </c>
      <c r="B275" s="5" t="s">
        <v>260</v>
      </c>
      <c r="C275" s="26"/>
      <c r="D275" s="3">
        <v>5</v>
      </c>
      <c r="E275" s="4">
        <v>190</v>
      </c>
      <c r="F275" s="23">
        <f>Таблица1[[#This Row],[Цена поступления (руб. за шт.)]]*Таблица1[[#This Row],[На остатке (шт.)]]</f>
        <v>950</v>
      </c>
      <c r="G275" s="4">
        <v>850</v>
      </c>
      <c r="H275" s="23">
        <f>Таблица1[[#This Row],[Цена реализации (руб. за шт.)]]*Таблица1[[#This Row],[На остатке (шт.)]]</f>
        <v>4250</v>
      </c>
      <c r="I275" s="27">
        <v>45051.648877314816</v>
      </c>
      <c r="J27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0.77647058823529413</v>
      </c>
      <c r="K275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3.4736842105263159</v>
      </c>
    </row>
    <row r="276" spans="1:11" ht="60" x14ac:dyDescent="0.25">
      <c r="A276" s="2">
        <f t="shared" si="3"/>
        <v>275</v>
      </c>
      <c r="B276" s="5" t="s">
        <v>251</v>
      </c>
      <c r="C276" s="26"/>
      <c r="D276" s="3">
        <v>3</v>
      </c>
      <c r="E276" s="4">
        <v>350</v>
      </c>
      <c r="F276" s="23">
        <f>Таблица1[[#This Row],[Цена поступления (руб. за шт.)]]*Таблица1[[#This Row],[На остатке (шт.)]]</f>
        <v>1050</v>
      </c>
      <c r="G276" s="4">
        <v>550</v>
      </c>
      <c r="H276" s="23">
        <f>Таблица1[[#This Row],[Цена реализации (руб. за шт.)]]*Таблица1[[#This Row],[На остатке (шт.)]]</f>
        <v>1650</v>
      </c>
      <c r="I276" s="27">
        <v>45051.65116898148</v>
      </c>
      <c r="J276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0.36363636363636365</v>
      </c>
      <c r="K276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0.5714285714285714</v>
      </c>
    </row>
    <row r="277" spans="1:11" ht="45" x14ac:dyDescent="0.25">
      <c r="A277" s="2">
        <f t="shared" si="3"/>
        <v>276</v>
      </c>
      <c r="B277" s="5" t="s">
        <v>252</v>
      </c>
      <c r="C277" s="26"/>
      <c r="D277" s="3">
        <v>3</v>
      </c>
      <c r="E277" s="4">
        <v>350</v>
      </c>
      <c r="F277" s="23">
        <f>Таблица1[[#This Row],[Цена поступления (руб. за шт.)]]*Таблица1[[#This Row],[На остатке (шт.)]]</f>
        <v>1050</v>
      </c>
      <c r="G277" s="4">
        <v>550</v>
      </c>
      <c r="H277" s="23">
        <f>Таблица1[[#This Row],[Цена реализации (руб. за шт.)]]*Таблица1[[#This Row],[На остатке (шт.)]]</f>
        <v>1650</v>
      </c>
      <c r="I277" s="27">
        <v>45051.656967592593</v>
      </c>
      <c r="J27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0.36363636363636365</v>
      </c>
      <c r="K277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0.5714285714285714</v>
      </c>
    </row>
    <row r="278" spans="1:11" ht="30" x14ac:dyDescent="0.25">
      <c r="A278" s="2">
        <f>ROW()-1</f>
        <v>277</v>
      </c>
      <c r="B278" s="5" t="s">
        <v>253</v>
      </c>
      <c r="C278" s="26"/>
      <c r="D278" s="3">
        <v>30</v>
      </c>
      <c r="E278" s="4">
        <v>189</v>
      </c>
      <c r="F278" s="23">
        <f>Таблица1[[#This Row],[Цена поступления (руб. за шт.)]]*Таблица1[[#This Row],[На остатке (шт.)]]</f>
        <v>5670</v>
      </c>
      <c r="G278" s="4">
        <v>450</v>
      </c>
      <c r="H278" s="23">
        <f>Таблица1[[#This Row],[Цена реализации (руб. за шт.)]]*Таблица1[[#This Row],[На остатке (шт.)]]</f>
        <v>13500</v>
      </c>
      <c r="I278" s="27">
        <v>45051.65934027778</v>
      </c>
      <c r="J27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0.57999999999999996</v>
      </c>
      <c r="K27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1.3809523809523809</v>
      </c>
    </row>
    <row r="279" spans="1:11" ht="30" x14ac:dyDescent="0.25">
      <c r="A279" s="2">
        <f>ROW()-1</f>
        <v>278</v>
      </c>
      <c r="B279" s="5" t="s">
        <v>280</v>
      </c>
      <c r="C279" s="26"/>
      <c r="D279" s="3">
        <v>20</v>
      </c>
      <c r="E279" s="4">
        <v>465.57</v>
      </c>
      <c r="F279" s="23">
        <f>Таблица1[[#This Row],[Цена поступления (руб. за шт.)]]*Таблица1[[#This Row],[На остатке (шт.)]]</f>
        <v>9311.4</v>
      </c>
      <c r="G279" s="4">
        <v>1000</v>
      </c>
      <c r="H279" s="23">
        <f>Таблица1[[#This Row],[Цена реализации (руб. за шт.)]]*Таблица1[[#This Row],[На остатке (шт.)]]</f>
        <v>20000</v>
      </c>
      <c r="I279" s="27">
        <v>45056.576331018521</v>
      </c>
      <c r="J27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0.53443000000000007</v>
      </c>
      <c r="K27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1.1479047189466678</v>
      </c>
    </row>
    <row r="280" spans="1:11" ht="30" x14ac:dyDescent="0.25">
      <c r="A280" s="2">
        <f t="shared" si="3"/>
        <v>279</v>
      </c>
      <c r="B280" s="5" t="s">
        <v>255</v>
      </c>
      <c r="C280" s="26"/>
      <c r="D280" s="3">
        <v>6</v>
      </c>
      <c r="E280" s="4"/>
      <c r="F280" s="23">
        <f>Таблица1[[#This Row],[Цена поступления (руб. за шт.)]]*Таблица1[[#This Row],[На остатке (шт.)]]</f>
        <v>0</v>
      </c>
      <c r="G280" s="4">
        <v>4500</v>
      </c>
      <c r="H280" s="23">
        <f>Таблица1[[#This Row],[Цена реализации (руб. за шт.)]]*Таблица1[[#This Row],[На остатке (шт.)]]</f>
        <v>27000</v>
      </c>
      <c r="I280" s="27">
        <v>45052.44054398148</v>
      </c>
      <c r="J28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80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81" spans="1:11" ht="30" x14ac:dyDescent="0.25">
      <c r="A281" s="2">
        <f t="shared" si="3"/>
        <v>280</v>
      </c>
      <c r="B281" s="5" t="s">
        <v>256</v>
      </c>
      <c r="C281" s="26"/>
      <c r="D281" s="3">
        <v>3</v>
      </c>
      <c r="E281" s="4"/>
      <c r="F281" s="23">
        <f>Таблица1[[#This Row],[Цена поступления (руб. за шт.)]]*Таблица1[[#This Row],[На остатке (шт.)]]</f>
        <v>0</v>
      </c>
      <c r="G281" s="4">
        <v>4500</v>
      </c>
      <c r="H281" s="23">
        <f>Таблица1[[#This Row],[Цена реализации (руб. за шт.)]]*Таблица1[[#This Row],[На остатке (шт.)]]</f>
        <v>13500</v>
      </c>
      <c r="I281" s="27">
        <v>45052.441076388888</v>
      </c>
      <c r="J28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81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82" spans="1:11" ht="30" x14ac:dyDescent="0.25">
      <c r="A282" s="2">
        <f t="shared" si="3"/>
        <v>281</v>
      </c>
      <c r="B282" s="5" t="s">
        <v>257</v>
      </c>
      <c r="C282" s="26"/>
      <c r="D282" s="3">
        <v>2</v>
      </c>
      <c r="E282" s="4"/>
      <c r="F282" s="23">
        <f>Таблица1[[#This Row],[Цена поступления (руб. за шт.)]]*Таблица1[[#This Row],[На остатке (шт.)]]</f>
        <v>0</v>
      </c>
      <c r="G282" s="4">
        <v>4500</v>
      </c>
      <c r="H282" s="23">
        <f>Таблица1[[#This Row],[Цена реализации (руб. за шт.)]]*Таблица1[[#This Row],[На остатке (шт.)]]</f>
        <v>9000</v>
      </c>
      <c r="I282" s="27">
        <v>45052.441458333335</v>
      </c>
      <c r="J28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82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83" spans="1:11" ht="30" x14ac:dyDescent="0.25">
      <c r="A283" s="2">
        <f t="shared" si="3"/>
        <v>282</v>
      </c>
      <c r="B283" s="5" t="s">
        <v>258</v>
      </c>
      <c r="C283" s="26"/>
      <c r="D283" s="3">
        <v>1</v>
      </c>
      <c r="E283" s="4"/>
      <c r="F283" s="23">
        <f>Таблица1[[#This Row],[Цена поступления (руб. за шт.)]]*Таблица1[[#This Row],[На остатке (шт.)]]</f>
        <v>0</v>
      </c>
      <c r="G283" s="4">
        <v>4500</v>
      </c>
      <c r="H283" s="23">
        <f>Таблица1[[#This Row],[Цена реализации (руб. за шт.)]]*Таблица1[[#This Row],[На остатке (шт.)]]</f>
        <v>4500</v>
      </c>
      <c r="I283" s="27">
        <v>45052.441863425927</v>
      </c>
      <c r="J28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83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84" spans="1:11" ht="30" x14ac:dyDescent="0.25">
      <c r="A284" s="2">
        <f t="shared" si="3"/>
        <v>283</v>
      </c>
      <c r="B284" s="5" t="s">
        <v>259</v>
      </c>
      <c r="C284" s="26"/>
      <c r="D284" s="3">
        <v>2</v>
      </c>
      <c r="E284" s="4">
        <v>2392</v>
      </c>
      <c r="F284" s="23">
        <f>Таблица1[[#This Row],[Цена поступления (руб. за шт.)]]*Таблица1[[#This Row],[На остатке (шт.)]]</f>
        <v>4784</v>
      </c>
      <c r="G284" s="4">
        <v>4500</v>
      </c>
      <c r="H284" s="23">
        <f>Таблица1[[#This Row],[Цена реализации (руб. за шт.)]]*Таблица1[[#This Row],[На остатке (шт.)]]</f>
        <v>9000</v>
      </c>
      <c r="I284" s="27">
        <v>45057.727407407408</v>
      </c>
      <c r="J284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0.46844444444444444</v>
      </c>
      <c r="K284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0.88127090301003341</v>
      </c>
    </row>
    <row r="285" spans="1:11" ht="33" customHeight="1" x14ac:dyDescent="0.25">
      <c r="A285" s="2">
        <f t="shared" si="3"/>
        <v>284</v>
      </c>
      <c r="B285" s="5" t="s">
        <v>265</v>
      </c>
      <c r="C285" s="26"/>
      <c r="D285" s="3">
        <v>2</v>
      </c>
      <c r="E285" s="4"/>
      <c r="F285" s="23">
        <f>Таблица1[[#This Row],[Цена поступления (руб. за шт.)]]*Таблица1[[#This Row],[На остатке (шт.)]]</f>
        <v>0</v>
      </c>
      <c r="G285" s="4">
        <v>5400</v>
      </c>
      <c r="H285" s="23">
        <f>Таблица1[[#This Row],[Цена реализации (руб. за шт.)]]*Таблица1[[#This Row],[На остатке (шт.)]]</f>
        <v>10800</v>
      </c>
      <c r="I285" s="27">
        <v>45055.517407407409</v>
      </c>
      <c r="J28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85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86" spans="1:11" ht="33" customHeight="1" x14ac:dyDescent="0.25">
      <c r="A286" s="2">
        <f>ROW()-1</f>
        <v>285</v>
      </c>
      <c r="B286" s="5" t="s">
        <v>266</v>
      </c>
      <c r="C286" s="26"/>
      <c r="D286" s="3">
        <v>1</v>
      </c>
      <c r="E286" s="4"/>
      <c r="F286" s="23">
        <f>Таблица1[[#This Row],[Цена поступления (руб. за шт.)]]*Таблица1[[#This Row],[На остатке (шт.)]]</f>
        <v>0</v>
      </c>
      <c r="G286" s="4">
        <v>5600</v>
      </c>
      <c r="H286" s="23">
        <f>Таблица1[[#This Row],[Цена реализации (руб. за шт.)]]*Таблица1[[#This Row],[На остатке (шт.)]]</f>
        <v>5600</v>
      </c>
      <c r="I286" s="27">
        <v>45062.741053240738</v>
      </c>
      <c r="J28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86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87" spans="1:11" ht="33" customHeight="1" x14ac:dyDescent="0.25">
      <c r="A287" s="2">
        <f>ROW()-1</f>
        <v>286</v>
      </c>
      <c r="B287" s="5" t="s">
        <v>267</v>
      </c>
      <c r="C287" s="26"/>
      <c r="D287" s="3">
        <v>2</v>
      </c>
      <c r="E287" s="4"/>
      <c r="F287" s="23">
        <f>Таблица1[[#This Row],[Цена поступления (руб. за шт.)]]*Таблица1[[#This Row],[На остатке (шт.)]]</f>
        <v>0</v>
      </c>
      <c r="G287" s="4">
        <v>5400</v>
      </c>
      <c r="H287" s="23">
        <f>Таблица1[[#This Row],[Цена реализации (руб. за шт.)]]*Таблица1[[#This Row],[На остатке (шт.)]]</f>
        <v>10800</v>
      </c>
      <c r="I287" s="27">
        <v>45055.55265046296</v>
      </c>
      <c r="J28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/>
      </c>
      <c r="K287" s="25" t="str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/>
      </c>
    </row>
    <row r="288" spans="1:11" ht="33" customHeight="1" x14ac:dyDescent="0.25">
      <c r="A288" s="2">
        <f>ROW()-1</f>
        <v>287</v>
      </c>
      <c r="B288" s="5" t="s">
        <v>281</v>
      </c>
      <c r="C288" s="26"/>
      <c r="D288" s="3">
        <v>2</v>
      </c>
      <c r="E288" s="4">
        <v>885.5</v>
      </c>
      <c r="F288" s="23">
        <f>Таблица1[[#This Row],[Цена поступления (руб. за шт.)]]*Таблица1[[#This Row],[На остатке (шт.)]]</f>
        <v>1771</v>
      </c>
      <c r="G288" s="4">
        <v>1400</v>
      </c>
      <c r="H288" s="23">
        <f>Таблица1[[#This Row],[Цена реализации (руб. за шт.)]]*Таблица1[[#This Row],[На остатке (шт.)]]</f>
        <v>2800</v>
      </c>
      <c r="I288" s="27">
        <v>45056.578148148146</v>
      </c>
      <c r="J28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0.36749999999999999</v>
      </c>
      <c r="K288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0.5810276679841897</v>
      </c>
    </row>
    <row r="289" spans="1:11" ht="33" customHeight="1" x14ac:dyDescent="0.25">
      <c r="A289" s="2">
        <f>ROW()-1</f>
        <v>288</v>
      </c>
      <c r="B289" s="5" t="s">
        <v>282</v>
      </c>
      <c r="C289" s="26"/>
      <c r="D289" s="3">
        <v>2</v>
      </c>
      <c r="E289" s="4">
        <v>885.5</v>
      </c>
      <c r="F289" s="23">
        <f>Таблица1[[#This Row],[Цена поступления (руб. за шт.)]]*Таблица1[[#This Row],[На остатке (шт.)]]</f>
        <v>1771</v>
      </c>
      <c r="G289" s="4">
        <v>1400</v>
      </c>
      <c r="H289" s="23">
        <f>Таблица1[[#This Row],[Цена реализации (руб. за шт.)]]*Таблица1[[#This Row],[На остатке (шт.)]]</f>
        <v>2800</v>
      </c>
      <c r="I289" s="27">
        <v>45056.578750000001</v>
      </c>
      <c r="J28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0.36749999999999999</v>
      </c>
      <c r="K289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0.5810276679841897</v>
      </c>
    </row>
    <row r="290" spans="1:11" ht="18" customHeight="1" x14ac:dyDescent="0.25">
      <c r="A290" s="2">
        <f>ROW()-1</f>
        <v>289</v>
      </c>
      <c r="B290" s="5" t="s">
        <v>302</v>
      </c>
      <c r="C290" s="26"/>
      <c r="D290" s="3">
        <v>8</v>
      </c>
      <c r="E290" s="4">
        <v>213.2</v>
      </c>
      <c r="F290" s="23">
        <f>Таблица1[[#This Row],[Цена поступления (руб. за шт.)]]*Таблица1[[#This Row],[На остатке (шт.)]]</f>
        <v>1705.6</v>
      </c>
      <c r="G290" s="4">
        <v>500</v>
      </c>
      <c r="H290" s="23">
        <f>Таблица1[[#This Row],[Цена реализации (руб. за шт.)]]*Таблица1[[#This Row],[На остатке (шт.)]]</f>
        <v>4000</v>
      </c>
      <c r="I290" s="27">
        <v>45059.69804398148</v>
      </c>
      <c r="J29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реализации (руб. за шт.)]])</f>
        <v>0.5736</v>
      </c>
      <c r="K290" s="25">
        <f>IF(OR(Таблица1[[#This Row],[Цена поступления (руб. за шт.)]]=0,Таблица1[[#This Row],[Цена реализации (руб. за шт.)]]=0),"",(Таблица1[[#This Row],[Цена реализации (руб. за шт.)]]-Таблица1[[#This Row],[Цена поступления (руб. за шт.)]])/Таблица1[[#This Row],[Цена поступления (руб. за шт.)]])</f>
        <v>1.3452157598499064</v>
      </c>
    </row>
    <row r="291" spans="1:11" x14ac:dyDescent="0.25">
      <c r="A291" s="18" t="s">
        <v>12</v>
      </c>
      <c r="B291" s="19"/>
      <c r="C291" s="19"/>
      <c r="D291" s="20">
        <f>SUBTOTAL(109,Таблица1[На остатке (шт.)])</f>
        <v>1025</v>
      </c>
      <c r="E291" s="21"/>
      <c r="F291" s="21"/>
      <c r="G291" s="21"/>
      <c r="H291" s="21">
        <f>SUBTOTAL(109,Таблица1[Сумма реализации (руб.)])</f>
        <v>3710860</v>
      </c>
      <c r="I291" s="21"/>
      <c r="J291" s="30"/>
      <c r="K291" s="22" t="str">
        <f>IF(Таблица1[[#Totals],[Сумма поступления (руб.)]]=0,"",(Таблица1[[#Totals],[Сумма реализации (руб.)]]-Таблица1[[#Totals],[Сумма поступления (руб.)]])/Таблица1[[#Totals],[Сумма поступления (руб.)]])</f>
        <v/>
      </c>
    </row>
  </sheetData>
  <sheetProtection selectLockedCells="1"/>
  <phoneticPr fontId="3" type="noConversion"/>
  <dataValidations count="1">
    <dataValidation type="list" allowBlank="1" showInputMessage="1" showErrorMessage="1" sqref="C2:C290" xr:uid="{E5F10497-E467-4588-9BF9-DC94736D3BA9}">
      <formula1>INDIRECT("Таблица3[Техника]")</formula1>
    </dataValidation>
  </dataValidations>
  <pageMargins left="0.7" right="0.7" top="0.75" bottom="0.75" header="0.3" footer="0.3"/>
  <pageSetup paperSize="9" scale="50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755DE-F68D-4718-8710-097071033A6E}">
  <sheetPr codeName="Лист3"/>
  <dimension ref="A1:A22"/>
  <sheetViews>
    <sheetView workbookViewId="0">
      <selection activeCell="A3" sqref="A3"/>
    </sheetView>
  </sheetViews>
  <sheetFormatPr defaultRowHeight="15" x14ac:dyDescent="0.25"/>
  <cols>
    <col min="1" max="1" width="11.85546875" customWidth="1"/>
  </cols>
  <sheetData>
    <row r="1" spans="1:1" x14ac:dyDescent="0.25">
      <c r="A1" t="s">
        <v>262</v>
      </c>
    </row>
    <row r="2" spans="1:1" x14ac:dyDescent="0.25">
      <c r="A2" t="s">
        <v>85</v>
      </c>
    </row>
    <row r="3" spans="1:1" x14ac:dyDescent="0.25">
      <c r="A3" t="s">
        <v>86</v>
      </c>
    </row>
    <row r="4" spans="1:1" x14ac:dyDescent="0.25">
      <c r="A4" t="s">
        <v>87</v>
      </c>
    </row>
    <row r="5" spans="1:1" x14ac:dyDescent="0.25">
      <c r="A5" t="s">
        <v>108</v>
      </c>
    </row>
    <row r="6" spans="1:1" x14ac:dyDescent="0.25">
      <c r="A6" t="s">
        <v>109</v>
      </c>
    </row>
    <row r="7" spans="1:1" x14ac:dyDescent="0.25">
      <c r="A7" t="s">
        <v>88</v>
      </c>
    </row>
    <row r="8" spans="1:1" x14ac:dyDescent="0.25">
      <c r="A8" t="s">
        <v>89</v>
      </c>
    </row>
    <row r="9" spans="1:1" x14ac:dyDescent="0.25">
      <c r="A9" t="s">
        <v>261</v>
      </c>
    </row>
    <row r="10" spans="1:1" x14ac:dyDescent="0.25">
      <c r="A10" t="s">
        <v>111</v>
      </c>
    </row>
    <row r="11" spans="1:1" x14ac:dyDescent="0.25">
      <c r="A11" t="s">
        <v>135</v>
      </c>
    </row>
    <row r="12" spans="1:1" x14ac:dyDescent="0.25">
      <c r="A12" t="s">
        <v>136</v>
      </c>
    </row>
    <row r="13" spans="1:1" x14ac:dyDescent="0.25">
      <c r="A13" t="s">
        <v>167</v>
      </c>
    </row>
    <row r="14" spans="1:1" x14ac:dyDescent="0.25">
      <c r="A14" t="s">
        <v>168</v>
      </c>
    </row>
    <row r="15" spans="1:1" x14ac:dyDescent="0.25">
      <c r="A15" t="s">
        <v>169</v>
      </c>
    </row>
    <row r="16" spans="1:1" x14ac:dyDescent="0.25">
      <c r="A16" t="s">
        <v>189</v>
      </c>
    </row>
    <row r="17" spans="1:1" x14ac:dyDescent="0.25">
      <c r="A17" t="s">
        <v>146</v>
      </c>
    </row>
    <row r="18" spans="1:1" x14ac:dyDescent="0.25">
      <c r="A18" t="s">
        <v>130</v>
      </c>
    </row>
    <row r="19" spans="1:1" x14ac:dyDescent="0.25">
      <c r="A19" t="s">
        <v>102</v>
      </c>
    </row>
    <row r="20" spans="1:1" x14ac:dyDescent="0.25">
      <c r="A20" t="s">
        <v>90</v>
      </c>
    </row>
    <row r="21" spans="1:1" x14ac:dyDescent="0.25">
      <c r="A21" t="s">
        <v>91</v>
      </c>
    </row>
    <row r="22" spans="1:1" x14ac:dyDescent="0.25">
      <c r="A22" t="s">
        <v>92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Лист3</vt:lpstr>
      <vt:lpstr>Техника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 comp</dc:creator>
  <cp:lastModifiedBy>My comp</cp:lastModifiedBy>
  <cp:lastPrinted>2023-05-09T13:23:12Z</cp:lastPrinted>
  <dcterms:created xsi:type="dcterms:W3CDTF">2023-04-22T07:20:43Z</dcterms:created>
  <dcterms:modified xsi:type="dcterms:W3CDTF">2023-05-16T14:55:56Z</dcterms:modified>
</cp:coreProperties>
</file>